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ox\Desktop\git\ShayMurtaghCataloguePlus\Other\Design Documents\"/>
    </mc:Choice>
  </mc:AlternateContent>
  <xr:revisionPtr revIDLastSave="0" documentId="13_ncr:1_{30D7C1DF-DC0C-4B90-9CA5-2F42A032A578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Design Analysis" sheetId="1" r:id="rId1"/>
    <sheet name="DesignDocumentation " sheetId="9" r:id="rId2"/>
    <sheet name="Y Beams" sheetId="2" r:id="rId3"/>
    <sheet name="UBeams" sheetId="3" r:id="rId4"/>
    <sheet name="Box beams" sheetId="4" r:id="rId5"/>
    <sheet name="MBeams" sheetId="7" r:id="rId6"/>
    <sheet name="MYBeams" sheetId="8" r:id="rId7"/>
    <sheet name="TBeams" sheetId="5" r:id="rId8"/>
    <sheet name="TYBeams" sheetId="10" r:id="rId9"/>
    <sheet name="WBeams" sheetId="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4" i="10"/>
  <c r="B25" i="8"/>
  <c r="B23" i="8"/>
  <c r="B22" i="8"/>
  <c r="B21" i="8"/>
  <c r="B20" i="8"/>
  <c r="B19" i="8"/>
  <c r="B17" i="8"/>
  <c r="B16" i="8"/>
  <c r="B15" i="8"/>
  <c r="B12" i="8"/>
  <c r="B9" i="8"/>
  <c r="B6" i="8"/>
  <c r="B5" i="8"/>
  <c r="B4" i="8"/>
  <c r="B8" i="7"/>
  <c r="B12" i="7"/>
  <c r="B11" i="7"/>
  <c r="B10" i="7"/>
  <c r="B9" i="7"/>
  <c r="B7" i="7"/>
  <c r="B6" i="7"/>
  <c r="B5" i="7"/>
  <c r="B4" i="7"/>
  <c r="S66" i="6"/>
  <c r="S65" i="6"/>
  <c r="S64" i="6"/>
  <c r="S62" i="6"/>
  <c r="S61" i="6"/>
  <c r="S60" i="6"/>
  <c r="S58" i="6"/>
  <c r="S57" i="6"/>
  <c r="S56" i="6"/>
  <c r="S54" i="6"/>
  <c r="S53" i="6"/>
  <c r="B53" i="6" s="1"/>
  <c r="S52" i="6"/>
  <c r="S50" i="6"/>
  <c r="S49" i="6"/>
  <c r="S48" i="6"/>
  <c r="S46" i="6"/>
  <c r="S45" i="6"/>
  <c r="S44" i="6"/>
  <c r="S42" i="6"/>
  <c r="S41" i="6"/>
  <c r="S40" i="6"/>
  <c r="S38" i="6"/>
  <c r="S37" i="6"/>
  <c r="S36" i="6"/>
  <c r="S34" i="6"/>
  <c r="S33" i="6"/>
  <c r="S32" i="6"/>
  <c r="S30" i="6"/>
  <c r="S29" i="6"/>
  <c r="S28" i="6"/>
  <c r="S26" i="6"/>
  <c r="S25" i="6"/>
  <c r="S24" i="6"/>
  <c r="S22" i="6"/>
  <c r="S21" i="6"/>
  <c r="S20" i="6"/>
  <c r="S18" i="6"/>
  <c r="S17" i="6"/>
  <c r="S16" i="6"/>
  <c r="S14" i="6"/>
  <c r="S13" i="6"/>
  <c r="S12" i="6"/>
  <c r="S10" i="6"/>
  <c r="S9" i="6"/>
  <c r="S8" i="6"/>
  <c r="S5" i="6"/>
  <c r="S6" i="6"/>
  <c r="S4" i="6"/>
  <c r="O65" i="6"/>
  <c r="J64" i="6"/>
  <c r="O62" i="6"/>
  <c r="O66" i="6" s="1"/>
  <c r="J62" i="6"/>
  <c r="J66" i="6" s="1"/>
  <c r="B66" i="6" s="1"/>
  <c r="B62" i="6"/>
  <c r="O61" i="6"/>
  <c r="J61" i="6"/>
  <c r="J65" i="6" s="1"/>
  <c r="B65" i="6" s="1"/>
  <c r="B61" i="6"/>
  <c r="O60" i="6"/>
  <c r="J60" i="6"/>
  <c r="J58" i="6"/>
  <c r="J57" i="6"/>
  <c r="J56" i="6"/>
  <c r="J54" i="6"/>
  <c r="J53" i="6"/>
  <c r="J52" i="6"/>
  <c r="J50" i="6"/>
  <c r="B50" i="6" s="1"/>
  <c r="J49" i="6"/>
  <c r="J48" i="6"/>
  <c r="J45" i="6"/>
  <c r="B45" i="6" s="1"/>
  <c r="J46" i="6"/>
  <c r="J44" i="6"/>
  <c r="O58" i="6"/>
  <c r="B58" i="6"/>
  <c r="O57" i="6"/>
  <c r="B57" i="6"/>
  <c r="O56" i="6"/>
  <c r="B56" i="6"/>
  <c r="O54" i="6"/>
  <c r="B54" i="6"/>
  <c r="O53" i="6"/>
  <c r="O52" i="6"/>
  <c r="B52" i="6"/>
  <c r="O50" i="6"/>
  <c r="O49" i="6"/>
  <c r="B49" i="6"/>
  <c r="O48" i="6"/>
  <c r="B48" i="6"/>
  <c r="O46" i="6"/>
  <c r="B46" i="6" s="1"/>
  <c r="O45" i="6"/>
  <c r="O44" i="6"/>
  <c r="B44" i="6"/>
  <c r="O42" i="6"/>
  <c r="B42" i="6"/>
  <c r="O41" i="6"/>
  <c r="B41" i="6"/>
  <c r="O40" i="6"/>
  <c r="B40" i="6"/>
  <c r="O38" i="6"/>
  <c r="O37" i="6"/>
  <c r="O36" i="6"/>
  <c r="O34" i="6"/>
  <c r="O33" i="6"/>
  <c r="O32" i="6"/>
  <c r="O30" i="6"/>
  <c r="O29" i="6"/>
  <c r="O28" i="6"/>
  <c r="O26" i="6"/>
  <c r="O25" i="6"/>
  <c r="O24" i="6"/>
  <c r="O22" i="6"/>
  <c r="O21" i="6"/>
  <c r="O20" i="6"/>
  <c r="O18" i="6"/>
  <c r="O17" i="6"/>
  <c r="O16" i="6"/>
  <c r="O14" i="6"/>
  <c r="O13" i="6"/>
  <c r="O12" i="6"/>
  <c r="O9" i="6"/>
  <c r="O10" i="6"/>
  <c r="O8" i="6"/>
  <c r="B38" i="6"/>
  <c r="B37" i="6"/>
  <c r="B36" i="6"/>
  <c r="B34" i="6"/>
  <c r="B33" i="6"/>
  <c r="B32" i="6"/>
  <c r="B30" i="6"/>
  <c r="B29" i="6"/>
  <c r="B28" i="6"/>
  <c r="B26" i="6"/>
  <c r="B25" i="6"/>
  <c r="B24" i="6"/>
  <c r="B22" i="6"/>
  <c r="B21" i="6"/>
  <c r="B20" i="6"/>
  <c r="B18" i="6"/>
  <c r="B17" i="6"/>
  <c r="B16" i="6"/>
  <c r="B14" i="6"/>
  <c r="B13" i="6"/>
  <c r="B12" i="6"/>
  <c r="B10" i="6"/>
  <c r="B9" i="6"/>
  <c r="B8" i="6"/>
  <c r="B5" i="6"/>
  <c r="B6" i="6"/>
  <c r="B4" i="6"/>
  <c r="B5" i="5"/>
  <c r="B8" i="5"/>
  <c r="B12" i="5"/>
  <c r="B6" i="5"/>
  <c r="B7" i="5"/>
  <c r="B9" i="5"/>
  <c r="B10" i="5"/>
  <c r="B11" i="5"/>
  <c r="B13" i="5"/>
  <c r="B4" i="5"/>
  <c r="B10" i="8" l="1"/>
  <c r="B13" i="8"/>
  <c r="B14" i="8"/>
  <c r="B11" i="8"/>
  <c r="B7" i="8"/>
  <c r="B8" i="8"/>
  <c r="B60" i="6"/>
  <c r="O64" i="6"/>
  <c r="B64" i="6" s="1"/>
  <c r="S26" i="4"/>
  <c r="S25" i="4"/>
  <c r="S24" i="4"/>
  <c r="S22" i="4"/>
  <c r="S21" i="4"/>
  <c r="B21" i="4" s="1"/>
  <c r="S20" i="4"/>
  <c r="S18" i="4"/>
  <c r="S17" i="4"/>
  <c r="S16" i="4"/>
  <c r="S14" i="4"/>
  <c r="S13" i="4"/>
  <c r="S12" i="4"/>
  <c r="S10" i="4"/>
  <c r="S9" i="4"/>
  <c r="S8" i="4"/>
  <c r="S5" i="4"/>
  <c r="S6" i="4"/>
  <c r="S4" i="4"/>
  <c r="B26" i="4"/>
  <c r="B25" i="4"/>
  <c r="B24" i="4"/>
  <c r="B23" i="4"/>
  <c r="B22" i="4"/>
  <c r="B20" i="4"/>
  <c r="B19" i="4"/>
  <c r="B15" i="4"/>
  <c r="B11" i="4"/>
  <c r="B7" i="4"/>
  <c r="B6" i="4"/>
  <c r="B5" i="4"/>
  <c r="B4" i="4"/>
  <c r="B14" i="3"/>
  <c r="B13" i="3"/>
  <c r="B12" i="3"/>
  <c r="B18" i="3"/>
  <c r="B17" i="3"/>
  <c r="B16" i="3"/>
  <c r="B22" i="3"/>
  <c r="B21" i="3"/>
  <c r="B20" i="3"/>
  <c r="B26" i="3"/>
  <c r="B25" i="3"/>
  <c r="B24" i="3"/>
  <c r="B30" i="3"/>
  <c r="B29" i="3"/>
  <c r="B28" i="3"/>
  <c r="B34" i="3"/>
  <c r="B33" i="3"/>
  <c r="B32" i="3"/>
  <c r="B38" i="3"/>
  <c r="B37" i="3"/>
  <c r="B36" i="3"/>
  <c r="B10" i="3"/>
  <c r="B9" i="3"/>
  <c r="B8" i="3"/>
  <c r="B5" i="3"/>
  <c r="B6" i="3"/>
  <c r="B4" i="3"/>
  <c r="J8" i="3"/>
  <c r="J12" i="3" s="1"/>
  <c r="J16" i="3" s="1"/>
  <c r="S38" i="3"/>
  <c r="S37" i="3"/>
  <c r="S36" i="3"/>
  <c r="S34" i="3"/>
  <c r="S33" i="3"/>
  <c r="S32" i="3"/>
  <c r="S30" i="3"/>
  <c r="S29" i="3"/>
  <c r="S28" i="3"/>
  <c r="S25" i="3"/>
  <c r="S26" i="3"/>
  <c r="S24" i="3"/>
  <c r="J9" i="3"/>
  <c r="J13" i="3" s="1"/>
  <c r="J17" i="3" s="1"/>
  <c r="J10" i="3"/>
  <c r="J14" i="3" s="1"/>
  <c r="J18" i="3" s="1"/>
  <c r="B31" i="3"/>
  <c r="B27" i="3"/>
  <c r="B23" i="3"/>
  <c r="B19" i="3"/>
  <c r="B15" i="3"/>
  <c r="B11" i="3"/>
  <c r="B7" i="3"/>
  <c r="B31" i="2"/>
  <c r="B27" i="2"/>
  <c r="B23" i="2"/>
  <c r="B19" i="2"/>
  <c r="B15" i="2"/>
  <c r="B11" i="2"/>
  <c r="H10" i="2"/>
  <c r="H14" i="2" s="1"/>
  <c r="H9" i="2"/>
  <c r="B9" i="2" s="1"/>
  <c r="H8" i="2"/>
  <c r="H12" i="2" s="1"/>
  <c r="B7" i="2"/>
  <c r="B6" i="2"/>
  <c r="B5" i="2"/>
  <c r="B4" i="2"/>
  <c r="B16" i="4" l="1"/>
  <c r="B12" i="4"/>
  <c r="B17" i="4"/>
  <c r="B13" i="4"/>
  <c r="B18" i="4"/>
  <c r="B14" i="4"/>
  <c r="B8" i="4"/>
  <c r="B10" i="4"/>
  <c r="B9" i="4"/>
  <c r="B10" i="2"/>
  <c r="B8" i="2"/>
  <c r="H18" i="2"/>
  <c r="B14" i="2"/>
  <c r="H16" i="2"/>
  <c r="B12" i="2"/>
  <c r="H13" i="2"/>
  <c r="B13" i="2" l="1"/>
  <c r="H17" i="2"/>
  <c r="B18" i="2"/>
  <c r="H22" i="2"/>
  <c r="B16" i="2"/>
  <c r="H20" i="2"/>
  <c r="B22" i="2" l="1"/>
  <c r="H26" i="2"/>
  <c r="B20" i="2"/>
  <c r="H24" i="2"/>
  <c r="H21" i="2"/>
  <c r="B17" i="2"/>
  <c r="H25" i="2" l="1"/>
  <c r="B21" i="2"/>
  <c r="H28" i="2"/>
  <c r="B24" i="2"/>
  <c r="H30" i="2"/>
  <c r="B26" i="2"/>
  <c r="H32" i="2" l="1"/>
  <c r="B32" i="2" s="1"/>
  <c r="B28" i="2"/>
  <c r="H34" i="2"/>
  <c r="B34" i="2" s="1"/>
  <c r="B30" i="2"/>
  <c r="B25" i="2"/>
  <c r="H29" i="2"/>
  <c r="B29" i="2" l="1"/>
  <c r="H33" i="2"/>
  <c r="B33" i="2" s="1"/>
</calcChain>
</file>

<file path=xl/sharedStrings.xml><?xml version="1.0" encoding="utf-8"?>
<sst xmlns="http://schemas.openxmlformats.org/spreadsheetml/2006/main" count="1446" uniqueCount="33">
  <si>
    <t>Db</t>
  </si>
  <si>
    <t>Tslab</t>
  </si>
  <si>
    <t>Lmin</t>
  </si>
  <si>
    <t>Lmax</t>
  </si>
  <si>
    <t xml:space="preserve">Y8 Beams </t>
  </si>
  <si>
    <t>,</t>
  </si>
  <si>
    <t>Spacing</t>
  </si>
  <si>
    <t>new Ybeam(1,1000,700,200,16.5,19.5};</t>
  </si>
  <si>
    <t>new YBeam(</t>
  </si>
  <si>
    <t>),</t>
  </si>
  <si>
    <t>`</t>
  </si>
  <si>
    <t>MY</t>
  </si>
  <si>
    <t>U</t>
  </si>
  <si>
    <t>T</t>
  </si>
  <si>
    <t>TY</t>
  </si>
  <si>
    <t>M</t>
  </si>
  <si>
    <t>Box</t>
  </si>
  <si>
    <t>W</t>
  </si>
  <si>
    <t xml:space="preserve">Shay Murtagh Catalogue Plus </t>
  </si>
  <si>
    <t>U Beams</t>
  </si>
  <si>
    <t>new UBeam(</t>
  </si>
  <si>
    <t>"</t>
  </si>
  <si>
    <t>Box Beams</t>
  </si>
  <si>
    <t>new BoxBeam(</t>
  </si>
  <si>
    <t>new TBeam(</t>
  </si>
  <si>
    <t>new WBeam(</t>
  </si>
  <si>
    <t>Tbeams</t>
  </si>
  <si>
    <t>Mbeams</t>
  </si>
  <si>
    <t>new MBeam(</t>
  </si>
  <si>
    <t>new MYBeam(</t>
  </si>
  <si>
    <t>MYBeams</t>
  </si>
  <si>
    <t>new TYBeam(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</si>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</sst>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Border="1" applyAlignment="1"/>
    <xf numFmtId="0" fontId="3" fillId="0" borderId="0" xfId="0" applyFont="1"/>
    <xf numFmtId="0" fontId="0" fillId="0" borderId="0" xfId="0" applyAlignment="1">
      <alignment horizontal="left"/>
    </xf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579904</xdr:colOff>
      <xdr:row>3</xdr:row>
      <xdr:rowOff>22971</xdr:rowOff>
    </xdr:from>
    <xdr:to>
      <xdr:col>7</xdr:col>
      <xdr:colOff>504264</xdr:colOff>
      <xdr:row>30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8685E55-9D3C-4493-960A-FF017C95CD9D}"/>
            </a:ext>
          </a:extLst>
        </xdr:cNvPr>
        <xdr:cNvSpPr txBox="1"/>
      </xdr:nvSpPr>
      <xdr:spPr>
        <a:xfrm>
          <a:off x="579904" y="594471"/>
          <a:ext cx="4160184" cy="51731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Concept </a:t>
          </a:r>
        </a:p>
        <a:p>
          <a:endParaRPr lang="en-GB" sz="1100" b="1" baseline="0"/>
        </a:p>
        <a:p>
          <a:r>
            <a:rPr lang="en-GB" sz="1100" b="0" baseline="0"/>
            <a:t>1. Designers of small to medium span bridges need to refer to the Shay Murtagh Bridge Beam catalogue to identify a suitable bridge beam arrangement. </a:t>
          </a:r>
        </a:p>
        <a:p>
          <a:endParaRPr lang="en-GB" sz="1100" b="0" baseline="0"/>
        </a:p>
        <a:p>
          <a:r>
            <a:rPr lang="en-GB" sz="1100" b="0" baseline="0"/>
            <a:t>2. It is tedious to have to look up at the catalogue each time and come up with the most suitable arrangement using the included graphs. </a:t>
          </a:r>
        </a:p>
        <a:p>
          <a:endParaRPr lang="en-GB" sz="1100" b="0" baseline="0"/>
        </a:p>
        <a:p>
          <a:r>
            <a:rPr lang="en-GB" sz="1100" b="1" baseline="0"/>
            <a:t>Solution: </a:t>
          </a:r>
        </a:p>
        <a:p>
          <a:endParaRPr lang="en-GB" sz="1100" b="0" baseline="0"/>
        </a:p>
        <a:p>
          <a:r>
            <a:rPr lang="en-GB" sz="1100" b="0" baseline="0"/>
            <a:t>To improve accuracy and minimise the possibility of error, a designer would have access to a tool that:</a:t>
          </a:r>
        </a:p>
        <a:p>
          <a:endParaRPr lang="en-GB" sz="1100" b="0" baseline="0"/>
        </a:p>
        <a:p>
          <a:r>
            <a:rPr lang="en-GB" sz="1100" b="0" baseline="0"/>
            <a:t>1) Input span length (m)</a:t>
          </a:r>
        </a:p>
        <a:p>
          <a:r>
            <a:rPr lang="en-GB" sz="1100" b="0" baseline="0"/>
            <a:t>2) Input available construction depth (m) </a:t>
          </a:r>
        </a:p>
        <a:p>
          <a:endParaRPr lang="en-GB" sz="1100" b="0" baseline="0"/>
        </a:p>
        <a:p>
          <a:r>
            <a:rPr lang="en-GB" sz="1100" b="0" baseline="0"/>
            <a:t>and</a:t>
          </a:r>
        </a:p>
        <a:p>
          <a:endParaRPr lang="en-GB" sz="1100" b="0" baseline="0"/>
        </a:p>
        <a:p>
          <a:r>
            <a:rPr lang="en-GB" sz="1100" b="0" baseline="0"/>
            <a:t>Output:</a:t>
          </a:r>
        </a:p>
        <a:p>
          <a:r>
            <a:rPr lang="en-GB" sz="1100" b="0" baseline="0"/>
            <a:t>1) Bridge beam type e.g. Y8 </a:t>
          </a:r>
        </a:p>
        <a:p>
          <a:r>
            <a:rPr lang="en-GB" sz="1100" b="0" baseline="0"/>
            <a:t>2) Spacing e.g. 3m centres</a:t>
          </a:r>
        </a:p>
        <a:p>
          <a:r>
            <a:rPr lang="en-GB" sz="1100" b="0" baseline="0"/>
            <a:t>3) Depth of Beam </a:t>
          </a:r>
        </a:p>
        <a:p>
          <a:r>
            <a:rPr lang="en-GB" sz="1100" b="0" baseline="0"/>
            <a:t>4) Depth of Slab/Topping </a:t>
          </a:r>
        </a:p>
        <a:p>
          <a:r>
            <a:rPr lang="en-GB" sz="1100" b="0" baseline="0"/>
            <a:t>5) Total Construction Depth </a:t>
          </a:r>
        </a:p>
        <a:p>
          <a:endParaRPr lang="en-GB" sz="1100" b="0" baseline="0"/>
        </a:p>
        <a:p>
          <a:r>
            <a:rPr lang="en-GB" sz="1100" b="0" baseline="0"/>
            <a:t>6) Remaining Construction Depth </a:t>
          </a:r>
        </a:p>
        <a:p>
          <a:r>
            <a:rPr lang="en-GB" sz="1100" b="0" baseline="0"/>
            <a:t>7) Utilisation =&gt; L/Lmax.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</xdr:txBody>
    </xdr:sp>
    <xdr:clientData/>
  </xdr:twoCellAnchor>
  <xdr:twoCellAnchor>
    <xdr:from>
      <xdr:col>8</xdr:col>
      <xdr:colOff>57709</xdr:colOff>
      <xdr:row>3</xdr:row>
      <xdr:rowOff>84044</xdr:rowOff>
    </xdr:from>
    <xdr:to>
      <xdr:col>13</xdr:col>
      <xdr:colOff>438709</xdr:colOff>
      <xdr:row>24</xdr:row>
      <xdr:rowOff>146798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3562449-48E1-4D20-AFD4-BF8539CCE228}"/>
            </a:ext>
          </a:extLst>
        </xdr:cNvPr>
        <xdr:cNvSpPr txBox="1"/>
      </xdr:nvSpPr>
      <xdr:spPr>
        <a:xfrm>
          <a:off x="4934509" y="655544"/>
          <a:ext cx="3429000" cy="4063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Algorithm (in Words) </a:t>
          </a:r>
        </a:p>
        <a:p>
          <a:endParaRPr lang="en-GB" sz="1100" b="1" baseline="0"/>
        </a:p>
        <a:p>
          <a:r>
            <a:rPr lang="en-GB" sz="1100" b="0" baseline="0"/>
            <a:t>1. Get a List&lt;BridgeBeam&gt;, which contains all the sizes and arrangements of all the different types of beams in Shay Murtagh's catalogue. </a:t>
          </a:r>
        </a:p>
        <a:p>
          <a:endParaRPr lang="en-GB" sz="1100" b="0" baseline="0"/>
        </a:p>
        <a:p>
          <a:r>
            <a:rPr lang="en-GB" sz="1100" b="0" baseline="0"/>
            <a:t>2. Create a new List containing all the beams which satisfy </a:t>
          </a:r>
        </a:p>
        <a:p>
          <a:endParaRPr lang="en-GB" sz="1100" b="0" baseline="0"/>
        </a:p>
        <a:p>
          <a:r>
            <a:rPr lang="en-GB" sz="1100" b="0" baseline="0"/>
            <a:t>2. Foreach type of IBeam </a:t>
          </a:r>
        </a:p>
        <a:p>
          <a:endParaRPr lang="en-GB" sz="1100" b="0" baseline="0"/>
        </a:p>
        <a:p>
          <a:r>
            <a:rPr lang="en-GB" sz="1100" b="0" baseline="0"/>
            <a:t>1) Check if Dtot &gt; Dmax</a:t>
          </a:r>
        </a:p>
        <a:p>
          <a:r>
            <a:rPr lang="en-GB" sz="1100" b="0" baseline="0"/>
            <a:t>2) Check if L &lt;= Lmax </a:t>
          </a:r>
        </a:p>
        <a:p>
          <a:r>
            <a:rPr lang="en-GB" sz="1100" b="0" baseline="0"/>
            <a:t>3) Check if List contains a design with a bigger spacing than one being checked.</a:t>
          </a:r>
        </a:p>
        <a:p>
          <a:endParaRPr lang="en-GB" sz="1100" b="0" baseline="0"/>
        </a:p>
        <a:p>
          <a:r>
            <a:rPr lang="en-GB" sz="1100" b="0" baseline="0"/>
            <a:t>e.g. List contains Y8 @ 3m centres, if current object being checked contains Y8 @ 2m centres we should set flag to false. </a:t>
          </a:r>
        </a:p>
        <a:p>
          <a:endParaRPr lang="en-GB" sz="1100" b="0" baseline="0"/>
        </a:p>
        <a:p>
          <a:r>
            <a:rPr lang="en-GB" sz="1100" b="0" baseline="0"/>
            <a:t>If passes add design to list. </a:t>
          </a:r>
        </a:p>
        <a:p>
          <a:endParaRPr lang="en-GB" sz="1100" b="0" baseline="0"/>
        </a:p>
        <a:p>
          <a:r>
            <a:rPr lang="en-GB" sz="1100" b="0" baseline="0"/>
            <a:t>3. Foreach design in List, add it to the datagridview. </a:t>
          </a:r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164224</xdr:colOff>
      <xdr:row>1</xdr:row>
      <xdr:rowOff>39414</xdr:rowOff>
    </xdr:from>
    <xdr:to>
      <xdr:col>7</xdr:col>
      <xdr:colOff>39413</xdr:colOff>
      <xdr:row>26</xdr:row>
      <xdr:rowOff>131885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57D0489-C0D7-4D8B-8444-74180ACF1B9C}"/>
            </a:ext>
          </a:extLst>
        </xdr:cNvPr>
        <xdr:cNvSpPr txBox="1"/>
      </xdr:nvSpPr>
      <xdr:spPr>
        <a:xfrm>
          <a:off x="164224" y="229914"/>
          <a:ext cx="4132131" cy="4854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Requirements:</a:t>
          </a:r>
        </a:p>
        <a:p>
          <a:r>
            <a:rPr lang="en-GB" sz="1100" b="0"/>
            <a:t>1.</a:t>
          </a:r>
          <a:r>
            <a:rPr lang="en-GB" sz="1100" b="0" baseline="0"/>
            <a:t> Aim is to help bridge designers quickly and efficiently do the conceptual design of and produce sketches for prestressed concrete bridges to the Eurocodes and UK National Annexes. </a:t>
          </a:r>
        </a:p>
        <a:p>
          <a:endParaRPr lang="en-GB" sz="1100" b="0" baseline="0"/>
        </a:p>
        <a:p>
          <a:r>
            <a:rPr lang="en-GB" sz="1100" b="1" baseline="0"/>
            <a:t>Manual Procedure: </a:t>
          </a:r>
        </a:p>
        <a:p>
          <a:r>
            <a:rPr lang="en-GB" sz="1100" b="0"/>
            <a:t>A designer has available: </a:t>
          </a:r>
        </a:p>
        <a:p>
          <a:r>
            <a:rPr lang="en-GB" sz="1100" b="0"/>
            <a:t>-Available</a:t>
          </a:r>
          <a:r>
            <a:rPr lang="en-GB" sz="1100" b="0" baseline="0"/>
            <a:t> construction depth </a:t>
          </a:r>
        </a:p>
        <a:p>
          <a:r>
            <a:rPr lang="en-GB" sz="1100" b="0" baseline="0"/>
            <a:t>-Maximum span length -</a:t>
          </a:r>
        </a:p>
        <a:p>
          <a:r>
            <a:rPr lang="en-GB" sz="1100" b="0" baseline="0"/>
            <a:t>-Total width of the bridge. </a:t>
          </a:r>
        </a:p>
        <a:p>
          <a:endParaRPr lang="en-GB" sz="1100" b="0" baseline="0"/>
        </a:p>
        <a:p>
          <a:r>
            <a:rPr lang="en-GB" sz="1100" b="0" baseline="0"/>
            <a:t>1. Go through each of the Shay Murtagh bridge beam design tables and identify which arrangements will work - they must </a:t>
          </a:r>
        </a:p>
        <a:p>
          <a:r>
            <a:rPr lang="en-GB" sz="1100" b="0" baseline="0"/>
            <a:t>satisfy both the construction depth and maximum span length. </a:t>
          </a:r>
        </a:p>
        <a:p>
          <a:r>
            <a:rPr lang="en-GB" sz="1100" b="0" baseline="0"/>
            <a:t>2. Produce a sketch by hand, manually setting out each of the beams using the information in the Shay Murtagh Prestressed Concrete Beam Manual </a:t>
          </a:r>
        </a:p>
        <a:p>
          <a:endParaRPr lang="en-GB" sz="1100" b="0" baseline="0"/>
        </a:p>
        <a:p>
          <a:r>
            <a:rPr lang="en-GB" sz="1100" b="1" baseline="0"/>
            <a:t>x Long winded, and time -consuming </a:t>
          </a:r>
        </a:p>
        <a:p>
          <a:endParaRPr lang="en-GB" sz="1100" b="1" baseline="0"/>
        </a:p>
        <a:p>
          <a:r>
            <a:rPr lang="en-GB" sz="1100" b="1" baseline="0"/>
            <a:t>Better Way! </a:t>
          </a:r>
        </a:p>
        <a:p>
          <a:r>
            <a:rPr lang="en-GB" sz="1100" b="0" baseline="0"/>
            <a:t>1. User logs into the application. </a:t>
          </a:r>
        </a:p>
        <a:p>
          <a:r>
            <a:rPr lang="en-GB" sz="1100" b="0" baseline="0"/>
            <a:t>2. User enters Davail and Lmax </a:t>
          </a:r>
        </a:p>
        <a:p>
          <a:r>
            <a:rPr lang="en-GB" sz="1100" b="0" baseline="0"/>
            <a:t>3. A table displays all the available working designs </a:t>
          </a:r>
        </a:p>
        <a:p>
          <a:r>
            <a:rPr lang="en-GB" sz="1100" b="0" baseline="0"/>
            <a:t>4. Alternativelt the user can show the working and failing designs for all the different types of prestresed concrete beam bridges. </a:t>
          </a:r>
        </a:p>
        <a:p>
          <a:r>
            <a:rPr lang="en-GB" sz="1100" b="0" baseline="0"/>
            <a:t>5. User can call an API to produce an AutoCAD batch script which produces the drawing to be placed in a sketch etc.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H57"/>
  <sheetViews>
    <sheetView zoomScaleNormal="100" workbookViewId="0">
      <selection activeCell="Q28" sqref="Q28"/>
    </sheetView>
  </sheetViews>
  <sheetFormatPr defaultRowHeight="15" x14ac:dyDescent="0.25"/>
  <cols>
    <col min="17" max="17" width="11.5703125" bestFit="1" customWidth="1"/>
    <col min="19" max="19" width="10.42578125" customWidth="1"/>
    <col min="21" max="22" width="11.140625" customWidth="1"/>
    <col min="26" max="26" width="15.5703125" customWidth="1"/>
    <col min="27" max="27" width="11.140625" bestFit="1" customWidth="1"/>
    <col min="39" max="39" width="13" bestFit="1" customWidth="1"/>
    <col min="40" max="40" width="10" bestFit="1" customWidth="1"/>
  </cols>
  <sheetData>
    <row r="2" spans="2:34" x14ac:dyDescent="0.25">
      <c r="B2" s="8" t="s">
        <v>18</v>
      </c>
    </row>
    <row r="3" spans="2:34" x14ac:dyDescent="0.25"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2:34" x14ac:dyDescent="0.25">
      <c r="B4" s="2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2:34" x14ac:dyDescent="0.25"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2:34" x14ac:dyDescent="0.25"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2:34" x14ac:dyDescent="0.25"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2:34" x14ac:dyDescent="0.25">
      <c r="B8" s="3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H8" t="s">
        <v>7</v>
      </c>
    </row>
    <row r="9" spans="2:34" x14ac:dyDescent="0.25"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2:34" x14ac:dyDescent="0.25">
      <c r="B10" s="3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2:34" x14ac:dyDescent="0.25"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</row>
    <row r="12" spans="2:34" x14ac:dyDescent="0.25"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</row>
    <row r="13" spans="2:34" x14ac:dyDescent="0.25"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</row>
    <row r="14" spans="2:34" x14ac:dyDescent="0.25"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2:34" x14ac:dyDescent="0.25"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</row>
    <row r="16" spans="2:34" x14ac:dyDescent="0.25"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7" spans="14:30" x14ac:dyDescent="0.25"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14:30" x14ac:dyDescent="0.25"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4:30" x14ac:dyDescent="0.25"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1" spans="14:30" x14ac:dyDescent="0.25">
      <c r="Q21" s="1"/>
      <c r="U21" s="5"/>
      <c r="V21" s="5"/>
      <c r="W21" s="5"/>
      <c r="X21" s="5"/>
    </row>
    <row r="22" spans="14:30" x14ac:dyDescent="0.25">
      <c r="S22" s="4"/>
      <c r="U22" s="4"/>
      <c r="V22" s="4"/>
      <c r="W22" s="4"/>
      <c r="X22" s="4"/>
    </row>
    <row r="23" spans="14:30" x14ac:dyDescent="0.25">
      <c r="S23" s="4"/>
      <c r="U23" s="4"/>
      <c r="V23" s="4"/>
      <c r="W23" s="4"/>
      <c r="X23" s="4"/>
    </row>
    <row r="24" spans="14:30" x14ac:dyDescent="0.25">
      <c r="S24" s="4"/>
      <c r="U24" s="4"/>
      <c r="V24" s="4"/>
      <c r="W24" s="4"/>
      <c r="X24" s="4"/>
    </row>
    <row r="25" spans="14:30" x14ac:dyDescent="0.25">
      <c r="S25" s="4"/>
      <c r="U25" s="4"/>
      <c r="V25" s="4"/>
      <c r="W25" s="4"/>
      <c r="X25" s="4"/>
    </row>
    <row r="26" spans="14:30" x14ac:dyDescent="0.25">
      <c r="S26" s="4"/>
      <c r="U26" s="4"/>
      <c r="V26" s="4"/>
      <c r="W26" s="4"/>
      <c r="X26" s="4"/>
    </row>
    <row r="27" spans="14:30" x14ac:dyDescent="0.25">
      <c r="S27" s="4"/>
      <c r="U27" s="4"/>
      <c r="V27" s="4"/>
      <c r="W27" s="4"/>
      <c r="X27" s="4"/>
    </row>
    <row r="28" spans="14:30" x14ac:dyDescent="0.25">
      <c r="S28" s="4"/>
      <c r="U28" s="4"/>
      <c r="V28" s="4"/>
      <c r="W28" s="4"/>
      <c r="X28" s="4"/>
    </row>
    <row r="29" spans="14:30" x14ac:dyDescent="0.25">
      <c r="S29" s="4"/>
      <c r="U29" s="4"/>
      <c r="V29" s="4"/>
      <c r="W29" s="4"/>
    </row>
    <row r="30" spans="14:30" x14ac:dyDescent="0.25">
      <c r="S30" s="4"/>
      <c r="T30" s="4"/>
      <c r="U30" s="4"/>
      <c r="V30" s="4"/>
      <c r="W30" s="4"/>
    </row>
    <row r="40" spans="24:24" x14ac:dyDescent="0.25">
      <c r="X40" t="s">
        <v>10</v>
      </c>
    </row>
    <row r="49" spans="7:24" x14ac:dyDescent="0.25">
      <c r="G49" s="4"/>
    </row>
    <row r="50" spans="7:24" x14ac:dyDescent="0.25"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</row>
    <row r="51" spans="7:24" x14ac:dyDescent="0.25"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</row>
    <row r="52" spans="7:24" x14ac:dyDescent="0.25"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</row>
    <row r="53" spans="7:24" x14ac:dyDescent="0.25">
      <c r="G53" s="4"/>
    </row>
    <row r="54" spans="7:24" x14ac:dyDescent="0.25"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</row>
    <row r="57" spans="7:24" x14ac:dyDescent="0.25">
      <c r="S57" s="4"/>
      <c r="T57" s="4"/>
      <c r="U57" s="4"/>
      <c r="V57" s="4"/>
      <c r="W57" s="4"/>
      <c r="X57" s="4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4C73C-E687-4968-ABBA-20B6C0149AC0}">
  <dimension ref="A1"/>
  <sheetViews>
    <sheetView tabSelected="1" zoomScale="115" zoomScaleNormal="115" workbookViewId="0">
      <selection activeCell="J24" sqref="J2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21ED8-2509-4F9C-A1FF-08985D402BB6}">
  <dimension ref="B2:S34"/>
  <sheetViews>
    <sheetView workbookViewId="0">
      <selection activeCell="Z25" sqref="Z25"/>
    </sheetView>
  </sheetViews>
  <sheetFormatPr defaultRowHeight="15" x14ac:dyDescent="0.25"/>
  <cols>
    <col min="7" max="7" width="12" bestFit="1" customWidth="1"/>
  </cols>
  <sheetData>
    <row r="2" spans="2:19" x14ac:dyDescent="0.25">
      <c r="B2" s="1" t="s">
        <v>4</v>
      </c>
      <c r="H2" s="4"/>
      <c r="J2" s="6" t="s">
        <v>6</v>
      </c>
      <c r="L2" s="6" t="s">
        <v>0</v>
      </c>
      <c r="M2" s="6"/>
      <c r="N2" s="6" t="s">
        <v>1</v>
      </c>
      <c r="O2" s="6"/>
      <c r="P2" s="6" t="s">
        <v>2</v>
      </c>
      <c r="Q2" s="6"/>
      <c r="R2" s="6" t="s">
        <v>3</v>
      </c>
    </row>
    <row r="4" spans="2:19" x14ac:dyDescent="0.25">
      <c r="B4" t="str">
        <f>_xlfn.CONCAT(G4,H4:R4,S4)</f>
        <v>new YBeam(1,1000,700,200,16.5,19.5),</v>
      </c>
      <c r="G4" s="4" t="s">
        <v>8</v>
      </c>
      <c r="H4" s="4">
        <v>1</v>
      </c>
      <c r="I4" t="s">
        <v>5</v>
      </c>
      <c r="J4" s="4">
        <v>1000</v>
      </c>
      <c r="K4" t="s">
        <v>5</v>
      </c>
      <c r="L4" s="4">
        <v>700</v>
      </c>
      <c r="M4" t="s">
        <v>5</v>
      </c>
      <c r="N4" s="4">
        <v>200</v>
      </c>
      <c r="O4" t="s">
        <v>5</v>
      </c>
      <c r="P4" s="4">
        <v>16.5</v>
      </c>
      <c r="Q4" t="s">
        <v>5</v>
      </c>
      <c r="R4" s="4">
        <v>19.5</v>
      </c>
      <c r="S4" t="s">
        <v>9</v>
      </c>
    </row>
    <row r="5" spans="2:19" x14ac:dyDescent="0.25">
      <c r="B5" t="str">
        <f>_xlfn.CONCAT(G5,H5:R5,S5)</f>
        <v>new YBeam(1,1500,700,200,12.5,15.5),</v>
      </c>
      <c r="G5" s="4" t="s">
        <v>8</v>
      </c>
      <c r="H5" s="4">
        <v>1</v>
      </c>
      <c r="I5" t="s">
        <v>5</v>
      </c>
      <c r="J5" s="4">
        <v>1500</v>
      </c>
      <c r="K5" t="s">
        <v>5</v>
      </c>
      <c r="L5" s="4">
        <v>700</v>
      </c>
      <c r="M5" t="s">
        <v>5</v>
      </c>
      <c r="N5" s="4">
        <v>200</v>
      </c>
      <c r="O5" t="s">
        <v>5</v>
      </c>
      <c r="P5" s="4">
        <v>12.5</v>
      </c>
      <c r="Q5" t="s">
        <v>5</v>
      </c>
      <c r="R5" s="4">
        <v>15.5</v>
      </c>
      <c r="S5" t="s">
        <v>9</v>
      </c>
    </row>
    <row r="6" spans="2:19" x14ac:dyDescent="0.25">
      <c r="B6" t="str">
        <f>_xlfn.CONCAT(G6,H6:R6,S6)</f>
        <v>new YBeam(1,2000,700,200,11,13.5),</v>
      </c>
      <c r="G6" s="4" t="s">
        <v>8</v>
      </c>
      <c r="H6" s="4">
        <v>1</v>
      </c>
      <c r="I6" t="s">
        <v>5</v>
      </c>
      <c r="J6" s="4">
        <v>2000</v>
      </c>
      <c r="K6" t="s">
        <v>5</v>
      </c>
      <c r="L6" s="4">
        <v>700</v>
      </c>
      <c r="M6" t="s">
        <v>5</v>
      </c>
      <c r="N6" s="4">
        <v>200</v>
      </c>
      <c r="O6" t="s">
        <v>5</v>
      </c>
      <c r="P6" s="4">
        <v>11</v>
      </c>
      <c r="Q6" t="s">
        <v>5</v>
      </c>
      <c r="R6" s="4">
        <v>13.5</v>
      </c>
      <c r="S6" t="s">
        <v>9</v>
      </c>
    </row>
    <row r="7" spans="2:19" x14ac:dyDescent="0.25">
      <c r="B7" t="str">
        <f>_xlfn.CONCAT(H7:R7)</f>
        <v/>
      </c>
      <c r="H7" s="4"/>
      <c r="J7" s="4"/>
      <c r="K7" s="4"/>
      <c r="M7" s="4"/>
      <c r="O7" s="4"/>
      <c r="P7" s="4"/>
      <c r="Q7" s="4"/>
      <c r="R7" s="4"/>
    </row>
    <row r="8" spans="2:19" x14ac:dyDescent="0.25">
      <c r="B8" t="str">
        <f>_xlfn.CONCAT(G8,H8:R8,S8)</f>
        <v>new YBeam(2,1000,800,200,19,22),</v>
      </c>
      <c r="G8" s="4" t="s">
        <v>8</v>
      </c>
      <c r="H8" s="4">
        <f>H4+1</f>
        <v>2</v>
      </c>
      <c r="I8" t="s">
        <v>5</v>
      </c>
      <c r="J8" s="4">
        <v>1000</v>
      </c>
      <c r="K8" t="s">
        <v>5</v>
      </c>
      <c r="L8" s="4">
        <v>800</v>
      </c>
      <c r="M8" t="s">
        <v>5</v>
      </c>
      <c r="N8" s="4">
        <v>200</v>
      </c>
      <c r="O8" t="s">
        <v>5</v>
      </c>
      <c r="P8" s="4">
        <v>19</v>
      </c>
      <c r="Q8" t="s">
        <v>5</v>
      </c>
      <c r="R8" s="4">
        <v>22</v>
      </c>
      <c r="S8" t="s">
        <v>9</v>
      </c>
    </row>
    <row r="9" spans="2:19" x14ac:dyDescent="0.25">
      <c r="B9" t="str">
        <f>_xlfn.CONCAT(G9,H9:R9,S9)</f>
        <v>new YBeam(2,1500,800,200,15,18),</v>
      </c>
      <c r="G9" s="4" t="s">
        <v>8</v>
      </c>
      <c r="H9" s="4">
        <f>H5+1</f>
        <v>2</v>
      </c>
      <c r="I9" t="s">
        <v>5</v>
      </c>
      <c r="J9" s="4">
        <v>1500</v>
      </c>
      <c r="K9" t="s">
        <v>5</v>
      </c>
      <c r="L9" s="4">
        <v>800</v>
      </c>
      <c r="M9" t="s">
        <v>5</v>
      </c>
      <c r="N9" s="4">
        <v>200</v>
      </c>
      <c r="O9" t="s">
        <v>5</v>
      </c>
      <c r="P9" s="4">
        <v>15</v>
      </c>
      <c r="Q9" t="s">
        <v>5</v>
      </c>
      <c r="R9" s="4">
        <v>18</v>
      </c>
      <c r="S9" t="s">
        <v>9</v>
      </c>
    </row>
    <row r="10" spans="2:19" x14ac:dyDescent="0.25">
      <c r="B10" t="str">
        <f>_xlfn.CONCAT(G10,H10:R10,S10)</f>
        <v>new YBeam(2,2000,800,200,12.5,15.5),</v>
      </c>
      <c r="G10" s="4" t="s">
        <v>8</v>
      </c>
      <c r="H10" s="4">
        <f>H6+1</f>
        <v>2</v>
      </c>
      <c r="I10" t="s">
        <v>5</v>
      </c>
      <c r="J10" s="4">
        <v>2000</v>
      </c>
      <c r="K10" t="s">
        <v>5</v>
      </c>
      <c r="L10" s="4">
        <v>800</v>
      </c>
      <c r="M10" t="s">
        <v>5</v>
      </c>
      <c r="N10" s="4">
        <v>200</v>
      </c>
      <c r="O10" t="s">
        <v>5</v>
      </c>
      <c r="P10" s="4">
        <v>12.5</v>
      </c>
      <c r="Q10" t="s">
        <v>5</v>
      </c>
      <c r="R10" s="4">
        <v>15.5</v>
      </c>
      <c r="S10" t="s">
        <v>9</v>
      </c>
    </row>
    <row r="11" spans="2:19" x14ac:dyDescent="0.25">
      <c r="B11" t="str">
        <f>_xlfn.CONCAT(H11:R11)</f>
        <v/>
      </c>
      <c r="H11" s="4"/>
      <c r="J11" s="4"/>
      <c r="K11" s="4"/>
      <c r="M11" s="4"/>
      <c r="O11" s="4"/>
      <c r="P11" s="4"/>
      <c r="Q11" s="4"/>
      <c r="R11" s="4"/>
    </row>
    <row r="12" spans="2:19" x14ac:dyDescent="0.25">
      <c r="B12" t="str">
        <f>_xlfn.CONCAT(G12,H12:R12,S12)</f>
        <v>new YBeam(3,1000,900,200,22,25),</v>
      </c>
      <c r="G12" s="4" t="s">
        <v>8</v>
      </c>
      <c r="H12" s="4">
        <f>H8+1</f>
        <v>3</v>
      </c>
      <c r="I12" t="s">
        <v>5</v>
      </c>
      <c r="J12" s="4">
        <v>1000</v>
      </c>
      <c r="K12" t="s">
        <v>5</v>
      </c>
      <c r="L12" s="4">
        <v>900</v>
      </c>
      <c r="M12" t="s">
        <v>5</v>
      </c>
      <c r="N12" s="4">
        <v>200</v>
      </c>
      <c r="O12" t="s">
        <v>5</v>
      </c>
      <c r="P12" s="4">
        <v>22</v>
      </c>
      <c r="Q12" t="s">
        <v>5</v>
      </c>
      <c r="R12" s="4">
        <v>25</v>
      </c>
      <c r="S12" t="s">
        <v>9</v>
      </c>
    </row>
    <row r="13" spans="2:19" x14ac:dyDescent="0.25">
      <c r="B13" t="str">
        <f>_xlfn.CONCAT(G13,H13:R13,S13)</f>
        <v>new YBeam(3,1500,900,200,17,20),</v>
      </c>
      <c r="G13" s="4" t="s">
        <v>8</v>
      </c>
      <c r="H13" s="4">
        <f>H9+1</f>
        <v>3</v>
      </c>
      <c r="I13" t="s">
        <v>5</v>
      </c>
      <c r="J13" s="4">
        <v>1500</v>
      </c>
      <c r="K13" t="s">
        <v>5</v>
      </c>
      <c r="L13" s="4">
        <v>900</v>
      </c>
      <c r="M13" t="s">
        <v>5</v>
      </c>
      <c r="N13" s="4">
        <v>200</v>
      </c>
      <c r="O13" t="s">
        <v>5</v>
      </c>
      <c r="P13" s="4">
        <v>17</v>
      </c>
      <c r="Q13" t="s">
        <v>5</v>
      </c>
      <c r="R13" s="4">
        <v>20</v>
      </c>
      <c r="S13" t="s">
        <v>9</v>
      </c>
    </row>
    <row r="14" spans="2:19" x14ac:dyDescent="0.25">
      <c r="B14" t="str">
        <f>_xlfn.CONCAT(G14,H14:R14,S14)</f>
        <v>new YBeam(3,2000,900,200,14.5,17.5),</v>
      </c>
      <c r="G14" s="4" t="s">
        <v>8</v>
      </c>
      <c r="H14" s="4">
        <f>H10+1</f>
        <v>3</v>
      </c>
      <c r="I14" t="s">
        <v>5</v>
      </c>
      <c r="J14" s="4">
        <v>2000</v>
      </c>
      <c r="K14" t="s">
        <v>5</v>
      </c>
      <c r="L14" s="4">
        <v>900</v>
      </c>
      <c r="M14" t="s">
        <v>5</v>
      </c>
      <c r="N14" s="4">
        <v>200</v>
      </c>
      <c r="O14" t="s">
        <v>5</v>
      </c>
      <c r="P14" s="4">
        <v>14.5</v>
      </c>
      <c r="Q14" t="s">
        <v>5</v>
      </c>
      <c r="R14" s="4">
        <v>17.5</v>
      </c>
      <c r="S14" t="s">
        <v>9</v>
      </c>
    </row>
    <row r="15" spans="2:19" x14ac:dyDescent="0.25">
      <c r="B15" t="str">
        <f>_xlfn.CONCAT(H15:R15)</f>
        <v/>
      </c>
      <c r="H15" s="4"/>
      <c r="J15" s="4"/>
      <c r="K15" s="4"/>
      <c r="M15" s="4"/>
      <c r="O15" s="4"/>
      <c r="P15" s="4"/>
      <c r="Q15" s="4"/>
      <c r="R15" s="4"/>
    </row>
    <row r="16" spans="2:19" x14ac:dyDescent="0.25">
      <c r="B16" t="str">
        <f>_xlfn.CONCAT(G16,H16:R16,S16)</f>
        <v>new YBeam(4,1000,1000,200,24.5,27.5),</v>
      </c>
      <c r="G16" s="4" t="s">
        <v>8</v>
      </c>
      <c r="H16" s="4">
        <f>H12+1</f>
        <v>4</v>
      </c>
      <c r="I16" t="s">
        <v>5</v>
      </c>
      <c r="J16" s="4">
        <v>1000</v>
      </c>
      <c r="K16" t="s">
        <v>5</v>
      </c>
      <c r="L16" s="4">
        <v>1000</v>
      </c>
      <c r="M16" t="s">
        <v>5</v>
      </c>
      <c r="N16" s="4">
        <v>200</v>
      </c>
      <c r="O16" t="s">
        <v>5</v>
      </c>
      <c r="P16" s="4">
        <v>24.5</v>
      </c>
      <c r="Q16" t="s">
        <v>5</v>
      </c>
      <c r="R16" s="4">
        <v>27.5</v>
      </c>
      <c r="S16" t="s">
        <v>9</v>
      </c>
    </row>
    <row r="17" spans="2:19" x14ac:dyDescent="0.25">
      <c r="B17" t="str">
        <f>_xlfn.CONCAT(G17,H17:R17,S17)</f>
        <v>new YBeam(4,1500,1000,200,19,22),</v>
      </c>
      <c r="G17" s="4" t="s">
        <v>8</v>
      </c>
      <c r="H17" s="4">
        <f>H13+1</f>
        <v>4</v>
      </c>
      <c r="I17" t="s">
        <v>5</v>
      </c>
      <c r="J17" s="4">
        <v>1500</v>
      </c>
      <c r="K17" t="s">
        <v>5</v>
      </c>
      <c r="L17" s="4">
        <v>1000</v>
      </c>
      <c r="M17" t="s">
        <v>5</v>
      </c>
      <c r="N17" s="4">
        <v>200</v>
      </c>
      <c r="O17" t="s">
        <v>5</v>
      </c>
      <c r="P17" s="4">
        <v>19</v>
      </c>
      <c r="Q17" t="s">
        <v>5</v>
      </c>
      <c r="R17" s="4">
        <v>22</v>
      </c>
      <c r="S17" t="s">
        <v>9</v>
      </c>
    </row>
    <row r="18" spans="2:19" x14ac:dyDescent="0.25">
      <c r="B18" t="str">
        <f>_xlfn.CONCAT(G18,H18:R18,S18)</f>
        <v>new YBeam(4,2000,1000,200,16.5,19.5),</v>
      </c>
      <c r="G18" s="4" t="s">
        <v>8</v>
      </c>
      <c r="H18" s="4">
        <f>H14+1</f>
        <v>4</v>
      </c>
      <c r="I18" t="s">
        <v>5</v>
      </c>
      <c r="J18" s="4">
        <v>2000</v>
      </c>
      <c r="K18" t="s">
        <v>5</v>
      </c>
      <c r="L18" s="4">
        <v>1000</v>
      </c>
      <c r="M18" t="s">
        <v>5</v>
      </c>
      <c r="N18" s="4">
        <v>200</v>
      </c>
      <c r="O18" t="s">
        <v>5</v>
      </c>
      <c r="P18" s="4">
        <v>16.5</v>
      </c>
      <c r="Q18" t="s">
        <v>5</v>
      </c>
      <c r="R18" s="4">
        <v>19.5</v>
      </c>
      <c r="S18" t="s">
        <v>9</v>
      </c>
    </row>
    <row r="19" spans="2:19" x14ac:dyDescent="0.25">
      <c r="B19" t="str">
        <f>_xlfn.CONCAT(H19:R19)</f>
        <v/>
      </c>
      <c r="H19" s="4"/>
      <c r="J19" s="4"/>
      <c r="K19" s="4"/>
      <c r="M19" s="4"/>
      <c r="O19" s="4"/>
      <c r="P19" s="4"/>
      <c r="Q19" s="4"/>
      <c r="R19" s="4"/>
    </row>
    <row r="20" spans="2:19" x14ac:dyDescent="0.25">
      <c r="B20" t="str">
        <f>_xlfn.CONCAT(G20,H20:R20,S20)</f>
        <v>new YBeam(5,1000,1100,200,27,31),</v>
      </c>
      <c r="G20" s="4" t="s">
        <v>8</v>
      </c>
      <c r="H20" s="4">
        <f>H16+1</f>
        <v>5</v>
      </c>
      <c r="I20" t="s">
        <v>5</v>
      </c>
      <c r="J20" s="4">
        <v>1000</v>
      </c>
      <c r="K20" t="s">
        <v>5</v>
      </c>
      <c r="L20" s="4">
        <v>1100</v>
      </c>
      <c r="M20" t="s">
        <v>5</v>
      </c>
      <c r="N20" s="4">
        <v>200</v>
      </c>
      <c r="O20" t="s">
        <v>5</v>
      </c>
      <c r="P20" s="4">
        <v>27</v>
      </c>
      <c r="Q20" t="s">
        <v>5</v>
      </c>
      <c r="R20" s="4">
        <v>31</v>
      </c>
      <c r="S20" t="s">
        <v>9</v>
      </c>
    </row>
    <row r="21" spans="2:19" x14ac:dyDescent="0.25">
      <c r="B21" t="str">
        <f>_xlfn.CONCAT(G21,H21:R21,S21)</f>
        <v>new YBeam(5,1500,1100,200,21,24),</v>
      </c>
      <c r="G21" s="4" t="s">
        <v>8</v>
      </c>
      <c r="H21" s="4">
        <f>H17+1</f>
        <v>5</v>
      </c>
      <c r="I21" t="s">
        <v>5</v>
      </c>
      <c r="J21" s="4">
        <v>1500</v>
      </c>
      <c r="K21" t="s">
        <v>5</v>
      </c>
      <c r="L21" s="4">
        <v>1100</v>
      </c>
      <c r="M21" t="s">
        <v>5</v>
      </c>
      <c r="N21" s="4">
        <v>200</v>
      </c>
      <c r="O21" t="s">
        <v>5</v>
      </c>
      <c r="P21" s="4">
        <v>21</v>
      </c>
      <c r="Q21" t="s">
        <v>5</v>
      </c>
      <c r="R21" s="4">
        <v>24</v>
      </c>
      <c r="S21" t="s">
        <v>9</v>
      </c>
    </row>
    <row r="22" spans="2:19" x14ac:dyDescent="0.25">
      <c r="B22" t="str">
        <f>_xlfn.CONCAT(G22,H22:R22,S22)</f>
        <v>new YBeam(5,2000,1100,200,18,21),</v>
      </c>
      <c r="G22" s="4" t="s">
        <v>8</v>
      </c>
      <c r="H22" s="4">
        <f>H18+1</f>
        <v>5</v>
      </c>
      <c r="I22" t="s">
        <v>5</v>
      </c>
      <c r="J22" s="4">
        <v>2000</v>
      </c>
      <c r="K22" t="s">
        <v>5</v>
      </c>
      <c r="L22" s="4">
        <v>1100</v>
      </c>
      <c r="M22" t="s">
        <v>5</v>
      </c>
      <c r="N22" s="4">
        <v>200</v>
      </c>
      <c r="O22" t="s">
        <v>5</v>
      </c>
      <c r="P22" s="4">
        <v>18</v>
      </c>
      <c r="Q22" t="s">
        <v>5</v>
      </c>
      <c r="R22" s="4">
        <v>21</v>
      </c>
      <c r="S22" t="s">
        <v>9</v>
      </c>
    </row>
    <row r="23" spans="2:19" x14ac:dyDescent="0.25">
      <c r="B23" t="str">
        <f>_xlfn.CONCAT(H23:R23)</f>
        <v/>
      </c>
      <c r="H23" s="4"/>
      <c r="J23" s="4"/>
      <c r="K23" s="4"/>
      <c r="M23" s="4"/>
      <c r="O23" s="4"/>
      <c r="Q23" s="4"/>
    </row>
    <row r="24" spans="2:19" x14ac:dyDescent="0.25">
      <c r="B24" t="str">
        <f>_xlfn.CONCAT(G24,H24:R24,S24)</f>
        <v>new YBeam(6,1000,1200,200,29,32),</v>
      </c>
      <c r="G24" s="4" t="s">
        <v>8</v>
      </c>
      <c r="H24" s="4">
        <f>H20+1</f>
        <v>6</v>
      </c>
      <c r="I24" t="s">
        <v>5</v>
      </c>
      <c r="J24" s="4">
        <v>1000</v>
      </c>
      <c r="K24" t="s">
        <v>5</v>
      </c>
      <c r="L24" s="4">
        <v>1200</v>
      </c>
      <c r="M24" t="s">
        <v>5</v>
      </c>
      <c r="N24" s="4">
        <v>200</v>
      </c>
      <c r="O24" t="s">
        <v>5</v>
      </c>
      <c r="P24" s="4">
        <v>29</v>
      </c>
      <c r="Q24" t="s">
        <v>5</v>
      </c>
      <c r="R24" s="4">
        <v>32</v>
      </c>
      <c r="S24" t="s">
        <v>9</v>
      </c>
    </row>
    <row r="25" spans="2:19" x14ac:dyDescent="0.25">
      <c r="B25" t="str">
        <f>_xlfn.CONCAT(G25,H25:R25,S25)</f>
        <v>new YBeam(6,1500,1200,200,23,26),</v>
      </c>
      <c r="G25" s="4" t="s">
        <v>8</v>
      </c>
      <c r="H25" s="4">
        <f>H21+1</f>
        <v>6</v>
      </c>
      <c r="I25" t="s">
        <v>5</v>
      </c>
      <c r="J25" s="4">
        <v>1500</v>
      </c>
      <c r="K25" t="s">
        <v>5</v>
      </c>
      <c r="L25" s="4">
        <v>1200</v>
      </c>
      <c r="M25" t="s">
        <v>5</v>
      </c>
      <c r="N25" s="4">
        <v>200</v>
      </c>
      <c r="O25" t="s">
        <v>5</v>
      </c>
      <c r="P25" s="4">
        <v>23</v>
      </c>
      <c r="Q25" t="s">
        <v>5</v>
      </c>
      <c r="R25" s="4">
        <v>26</v>
      </c>
      <c r="S25" t="s">
        <v>9</v>
      </c>
    </row>
    <row r="26" spans="2:19" x14ac:dyDescent="0.25">
      <c r="B26" t="str">
        <f>_xlfn.CONCAT(G26,H26:R26,S26)</f>
        <v>new YBeam(6,2000,1200,200,20,23),</v>
      </c>
      <c r="G26" s="4" t="s">
        <v>8</v>
      </c>
      <c r="H26" s="4">
        <f>H22+1</f>
        <v>6</v>
      </c>
      <c r="I26" t="s">
        <v>5</v>
      </c>
      <c r="J26" s="4">
        <v>2000</v>
      </c>
      <c r="K26" t="s">
        <v>5</v>
      </c>
      <c r="L26" s="4">
        <v>1200</v>
      </c>
      <c r="M26" t="s">
        <v>5</v>
      </c>
      <c r="N26" s="4">
        <v>200</v>
      </c>
      <c r="O26" t="s">
        <v>5</v>
      </c>
      <c r="P26" s="4">
        <v>20</v>
      </c>
      <c r="Q26" t="s">
        <v>5</v>
      </c>
      <c r="R26" s="4">
        <v>23</v>
      </c>
      <c r="S26" t="s">
        <v>9</v>
      </c>
    </row>
    <row r="27" spans="2:19" x14ac:dyDescent="0.25">
      <c r="B27" t="str">
        <f>_xlfn.CONCAT(H27:R27)</f>
        <v/>
      </c>
      <c r="H27" s="4"/>
    </row>
    <row r="28" spans="2:19" x14ac:dyDescent="0.25">
      <c r="B28" t="str">
        <f>_xlfn.CONCAT(G28,H28:R28,S28)</f>
        <v>new YBeam(7,1000,1300,200,31,34),</v>
      </c>
      <c r="G28" s="4" t="s">
        <v>8</v>
      </c>
      <c r="H28" s="4">
        <f>H24+1</f>
        <v>7</v>
      </c>
      <c r="I28" t="s">
        <v>5</v>
      </c>
      <c r="J28" s="4">
        <v>1000</v>
      </c>
      <c r="K28" t="s">
        <v>5</v>
      </c>
      <c r="L28" s="4">
        <v>1300</v>
      </c>
      <c r="M28" t="s">
        <v>5</v>
      </c>
      <c r="N28" s="4">
        <v>200</v>
      </c>
      <c r="O28" t="s">
        <v>5</v>
      </c>
      <c r="P28" s="4">
        <v>31</v>
      </c>
      <c r="Q28" t="s">
        <v>5</v>
      </c>
      <c r="R28" s="4">
        <v>34</v>
      </c>
      <c r="S28" t="s">
        <v>9</v>
      </c>
    </row>
    <row r="29" spans="2:19" x14ac:dyDescent="0.25">
      <c r="B29" t="str">
        <f>_xlfn.CONCAT(G29,H29:R29,S29)</f>
        <v>new YBeam(7,1500,1300,200,25,28),</v>
      </c>
      <c r="G29" s="4" t="s">
        <v>8</v>
      </c>
      <c r="H29" s="4">
        <f>H25+1</f>
        <v>7</v>
      </c>
      <c r="I29" t="s">
        <v>5</v>
      </c>
      <c r="J29" s="4">
        <v>1500</v>
      </c>
      <c r="K29" t="s">
        <v>5</v>
      </c>
      <c r="L29" s="4">
        <v>1300</v>
      </c>
      <c r="M29" t="s">
        <v>5</v>
      </c>
      <c r="N29" s="4">
        <v>200</v>
      </c>
      <c r="O29" t="s">
        <v>5</v>
      </c>
      <c r="P29" s="4">
        <v>25</v>
      </c>
      <c r="Q29" t="s">
        <v>5</v>
      </c>
      <c r="R29" s="4">
        <v>28</v>
      </c>
      <c r="S29" t="s">
        <v>9</v>
      </c>
    </row>
    <row r="30" spans="2:19" x14ac:dyDescent="0.25">
      <c r="B30" t="str">
        <f>_xlfn.CONCAT(G30,H30:R30,S30)</f>
        <v>new YBeam(7,2000,1300,200,21.5,24.5),</v>
      </c>
      <c r="G30" s="4" t="s">
        <v>8</v>
      </c>
      <c r="H30" s="4">
        <f>H26+1</f>
        <v>7</v>
      </c>
      <c r="I30" t="s">
        <v>5</v>
      </c>
      <c r="J30" s="4">
        <v>2000</v>
      </c>
      <c r="K30" t="s">
        <v>5</v>
      </c>
      <c r="L30" s="4">
        <v>1300</v>
      </c>
      <c r="M30" t="s">
        <v>5</v>
      </c>
      <c r="N30" s="4">
        <v>200</v>
      </c>
      <c r="O30" t="s">
        <v>5</v>
      </c>
      <c r="P30" s="4">
        <v>21.5</v>
      </c>
      <c r="Q30" t="s">
        <v>5</v>
      </c>
      <c r="R30" s="4">
        <v>24.5</v>
      </c>
      <c r="S30" t="s">
        <v>9</v>
      </c>
    </row>
    <row r="31" spans="2:19" x14ac:dyDescent="0.25">
      <c r="B31" t="str">
        <f>_xlfn.CONCAT(H31:R31)</f>
        <v/>
      </c>
      <c r="H31" s="4"/>
    </row>
    <row r="32" spans="2:19" x14ac:dyDescent="0.25">
      <c r="B32" t="str">
        <f>_xlfn.CONCAT(G32,H32:R32,S32)</f>
        <v>new YBeam(8,1000,1400,200,33.5,36.5),</v>
      </c>
      <c r="G32" s="4" t="s">
        <v>8</v>
      </c>
      <c r="H32" s="4">
        <f>H28+1</f>
        <v>8</v>
      </c>
      <c r="I32" t="s">
        <v>5</v>
      </c>
      <c r="J32" s="4">
        <v>1000</v>
      </c>
      <c r="K32" t="s">
        <v>5</v>
      </c>
      <c r="L32" s="4">
        <v>1400</v>
      </c>
      <c r="M32" t="s">
        <v>5</v>
      </c>
      <c r="N32" s="4">
        <v>200</v>
      </c>
      <c r="O32" t="s">
        <v>5</v>
      </c>
      <c r="P32" s="4">
        <v>33.5</v>
      </c>
      <c r="Q32" t="s">
        <v>5</v>
      </c>
      <c r="R32" s="4">
        <v>36.5</v>
      </c>
      <c r="S32" t="s">
        <v>9</v>
      </c>
    </row>
    <row r="33" spans="2:19" x14ac:dyDescent="0.25">
      <c r="B33" t="str">
        <f>_xlfn.CONCAT(G33,H33:R33,S33)</f>
        <v>new YBeam(8,1500,1400,200,27,30),</v>
      </c>
      <c r="G33" s="4" t="s">
        <v>8</v>
      </c>
      <c r="H33" s="4">
        <f>H29+1</f>
        <v>8</v>
      </c>
      <c r="I33" t="s">
        <v>5</v>
      </c>
      <c r="J33" s="4">
        <v>1500</v>
      </c>
      <c r="K33" t="s">
        <v>5</v>
      </c>
      <c r="L33" s="4">
        <v>1400</v>
      </c>
      <c r="M33" t="s">
        <v>5</v>
      </c>
      <c r="N33" s="4">
        <v>200</v>
      </c>
      <c r="O33" t="s">
        <v>5</v>
      </c>
      <c r="P33" s="4">
        <v>27</v>
      </c>
      <c r="Q33" t="s">
        <v>5</v>
      </c>
      <c r="R33" s="4">
        <v>30</v>
      </c>
      <c r="S33" t="s">
        <v>9</v>
      </c>
    </row>
    <row r="34" spans="2:19" x14ac:dyDescent="0.25">
      <c r="B34" t="str">
        <f>_xlfn.CONCAT(G34,H34:R34,S34)</f>
        <v>new YBeam(8,2000,1400,200,23.5,26.5),</v>
      </c>
      <c r="G34" s="4" t="s">
        <v>8</v>
      </c>
      <c r="H34" s="4">
        <f>H30+1</f>
        <v>8</v>
      </c>
      <c r="I34" t="s">
        <v>5</v>
      </c>
      <c r="J34" s="4">
        <v>2000</v>
      </c>
      <c r="K34" t="s">
        <v>5</v>
      </c>
      <c r="L34" s="4">
        <v>1400</v>
      </c>
      <c r="M34" t="s">
        <v>5</v>
      </c>
      <c r="N34" s="4">
        <v>200</v>
      </c>
      <c r="O34" t="s">
        <v>5</v>
      </c>
      <c r="P34" s="4">
        <v>23.5</v>
      </c>
      <c r="Q34" t="s">
        <v>5</v>
      </c>
      <c r="R34" s="4">
        <v>26.5</v>
      </c>
      <c r="S34" t="s">
        <v>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DBC60-891F-41B8-95AB-09C5AE665C3F}">
  <dimension ref="B2:T38"/>
  <sheetViews>
    <sheetView zoomScale="85" zoomScaleNormal="85" workbookViewId="0">
      <selection activeCell="I38" sqref="I38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19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UBeam("U1",3000,800,12,17),</v>
      </c>
      <c r="G4" s="4" t="s">
        <v>20</v>
      </c>
      <c r="H4" s="4" t="s">
        <v>21</v>
      </c>
      <c r="I4" s="4" t="s">
        <v>12</v>
      </c>
      <c r="J4" s="4">
        <v>1</v>
      </c>
      <c r="K4" s="4" t="s">
        <v>21</v>
      </c>
      <c r="L4" t="s">
        <v>5</v>
      </c>
      <c r="M4" s="4">
        <v>3000</v>
      </c>
      <c r="N4" t="s">
        <v>5</v>
      </c>
      <c r="O4" s="4">
        <v>800</v>
      </c>
      <c r="P4" t="s">
        <v>5</v>
      </c>
      <c r="Q4" s="4">
        <v>12</v>
      </c>
      <c r="R4" t="s">
        <v>5</v>
      </c>
      <c r="S4" s="4">
        <v>17</v>
      </c>
      <c r="T4" t="s">
        <v>9</v>
      </c>
    </row>
    <row r="5" spans="2:20" x14ac:dyDescent="0.25">
      <c r="B5" t="str">
        <f t="shared" ref="B5:B6" si="0">_xlfn.CONCAT(G5,H5:S5,T5)</f>
        <v>new UBeam("U1",2500,800,14,18),</v>
      </c>
      <c r="G5" s="4" t="s">
        <v>20</v>
      </c>
      <c r="H5" s="4" t="s">
        <v>21</v>
      </c>
      <c r="I5" s="4" t="s">
        <v>12</v>
      </c>
      <c r="J5" s="4">
        <v>1</v>
      </c>
      <c r="K5" s="4" t="s">
        <v>21</v>
      </c>
      <c r="L5" t="s">
        <v>5</v>
      </c>
      <c r="M5" s="4">
        <v>2500</v>
      </c>
      <c r="N5" t="s">
        <v>5</v>
      </c>
      <c r="O5" s="4">
        <v>800</v>
      </c>
      <c r="P5" t="s">
        <v>5</v>
      </c>
      <c r="Q5" s="4">
        <v>14</v>
      </c>
      <c r="R5" t="s">
        <v>5</v>
      </c>
      <c r="S5" s="4">
        <v>18</v>
      </c>
      <c r="T5" t="s">
        <v>9</v>
      </c>
    </row>
    <row r="6" spans="2:20" x14ac:dyDescent="0.25">
      <c r="B6" t="str">
        <f t="shared" si="0"/>
        <v>new UBeam("U1",2000,800,16,20),</v>
      </c>
      <c r="G6" s="4" t="s">
        <v>20</v>
      </c>
      <c r="H6" s="4" t="s">
        <v>21</v>
      </c>
      <c r="I6" s="4" t="s">
        <v>12</v>
      </c>
      <c r="J6" s="4">
        <v>1</v>
      </c>
      <c r="K6" s="4" t="s">
        <v>21</v>
      </c>
      <c r="L6" t="s">
        <v>5</v>
      </c>
      <c r="M6" s="4">
        <v>2000</v>
      </c>
      <c r="N6" t="s">
        <v>5</v>
      </c>
      <c r="O6" s="4">
        <v>800</v>
      </c>
      <c r="P6" t="s">
        <v>5</v>
      </c>
      <c r="Q6" s="4">
        <v>16</v>
      </c>
      <c r="R6" t="s">
        <v>5</v>
      </c>
      <c r="S6" s="4">
        <v>20</v>
      </c>
      <c r="T6" t="s">
        <v>9</v>
      </c>
    </row>
    <row r="7" spans="2:20" x14ac:dyDescent="0.25">
      <c r="B7" t="str">
        <f>_xlfn.CONCAT(J7:S7)</f>
        <v/>
      </c>
      <c r="J7" s="4"/>
      <c r="K7" s="4"/>
      <c r="M7" s="4"/>
      <c r="N7" s="4"/>
      <c r="P7" s="4"/>
      <c r="R7" s="4"/>
    </row>
    <row r="8" spans="2:20" x14ac:dyDescent="0.25">
      <c r="B8" t="str">
        <f>_xlfn.CONCAT(G8,H8:S8,T8)</f>
        <v>new UBeam("U3",3000,900,14.5,18.5),</v>
      </c>
      <c r="G8" s="4" t="s">
        <v>20</v>
      </c>
      <c r="H8" s="4" t="s">
        <v>21</v>
      </c>
      <c r="I8" s="4" t="s">
        <v>12</v>
      </c>
      <c r="J8" s="4">
        <f>J4+2</f>
        <v>3</v>
      </c>
      <c r="K8" s="4" t="s">
        <v>21</v>
      </c>
      <c r="L8" t="s">
        <v>5</v>
      </c>
      <c r="M8" s="4">
        <v>3000</v>
      </c>
      <c r="N8" t="s">
        <v>5</v>
      </c>
      <c r="O8" s="4">
        <v>900</v>
      </c>
      <c r="P8" t="s">
        <v>5</v>
      </c>
      <c r="Q8" s="4">
        <v>14.5</v>
      </c>
      <c r="R8" t="s">
        <v>5</v>
      </c>
      <c r="S8" s="4">
        <v>18.5</v>
      </c>
      <c r="T8" t="s">
        <v>9</v>
      </c>
    </row>
    <row r="9" spans="2:20" x14ac:dyDescent="0.25">
      <c r="B9" t="str">
        <f t="shared" ref="B9:B10" si="1">_xlfn.CONCAT(G9,H9:S9,T9)</f>
        <v>new UBeam("U3",2500,900,15.5,19.5),</v>
      </c>
      <c r="G9" s="4" t="s">
        <v>20</v>
      </c>
      <c r="H9" s="4" t="s">
        <v>21</v>
      </c>
      <c r="I9" s="4" t="s">
        <v>12</v>
      </c>
      <c r="J9" s="4">
        <f t="shared" ref="J9:J10" si="2">J5+2</f>
        <v>3</v>
      </c>
      <c r="K9" s="4" t="s">
        <v>21</v>
      </c>
      <c r="L9" t="s">
        <v>5</v>
      </c>
      <c r="M9" s="4">
        <v>2500</v>
      </c>
      <c r="N9" t="s">
        <v>5</v>
      </c>
      <c r="O9" s="4">
        <v>900</v>
      </c>
      <c r="P9" t="s">
        <v>5</v>
      </c>
      <c r="Q9" s="4">
        <v>15.5</v>
      </c>
      <c r="R9" t="s">
        <v>5</v>
      </c>
      <c r="S9" s="4">
        <v>19.5</v>
      </c>
      <c r="T9" t="s">
        <v>9</v>
      </c>
    </row>
    <row r="10" spans="2:20" x14ac:dyDescent="0.25">
      <c r="B10" t="str">
        <f t="shared" si="1"/>
        <v>new UBeam("U3",2000,900,17.5,21.5),</v>
      </c>
      <c r="G10" s="4" t="s">
        <v>20</v>
      </c>
      <c r="H10" s="4" t="s">
        <v>21</v>
      </c>
      <c r="I10" s="4" t="s">
        <v>12</v>
      </c>
      <c r="J10" s="4">
        <f t="shared" si="2"/>
        <v>3</v>
      </c>
      <c r="K10" s="4" t="s">
        <v>21</v>
      </c>
      <c r="L10" t="s">
        <v>5</v>
      </c>
      <c r="M10" s="4">
        <v>2000</v>
      </c>
      <c r="N10" t="s">
        <v>5</v>
      </c>
      <c r="O10" s="4">
        <v>900</v>
      </c>
      <c r="P10" t="s">
        <v>5</v>
      </c>
      <c r="Q10" s="4">
        <v>17.5</v>
      </c>
      <c r="R10" t="s">
        <v>5</v>
      </c>
      <c r="S10" s="4">
        <v>21.5</v>
      </c>
      <c r="T10" t="s">
        <v>9</v>
      </c>
    </row>
    <row r="11" spans="2:20" x14ac:dyDescent="0.25">
      <c r="B11" t="str">
        <f>_xlfn.CONCAT(J11:S11)</f>
        <v/>
      </c>
      <c r="J11" s="4"/>
      <c r="K11" s="4"/>
      <c r="M11" s="4"/>
      <c r="N11" s="4"/>
      <c r="P11" s="4"/>
      <c r="R11" s="4"/>
    </row>
    <row r="12" spans="2:20" x14ac:dyDescent="0.25">
      <c r="B12" t="str">
        <f>_xlfn.CONCAT(G12,H12:S12,T12)</f>
        <v>new UBeam("U5",3000,1000,16.5,20.5),</v>
      </c>
      <c r="G12" s="4" t="s">
        <v>20</v>
      </c>
      <c r="H12" s="4" t="s">
        <v>21</v>
      </c>
      <c r="I12" s="4" t="s">
        <v>12</v>
      </c>
      <c r="J12" s="4">
        <f>J8+2</f>
        <v>5</v>
      </c>
      <c r="K12" s="4" t="s">
        <v>21</v>
      </c>
      <c r="L12" t="s">
        <v>5</v>
      </c>
      <c r="M12" s="4">
        <v>3000</v>
      </c>
      <c r="N12" t="s">
        <v>5</v>
      </c>
      <c r="O12" s="4">
        <v>1000</v>
      </c>
      <c r="P12" t="s">
        <v>5</v>
      </c>
      <c r="Q12" s="4">
        <v>16.5</v>
      </c>
      <c r="R12" t="s">
        <v>5</v>
      </c>
      <c r="S12" s="4">
        <v>20.5</v>
      </c>
      <c r="T12" t="s">
        <v>9</v>
      </c>
    </row>
    <row r="13" spans="2:20" x14ac:dyDescent="0.25">
      <c r="B13" t="str">
        <f t="shared" ref="B13:B14" si="3">_xlfn.CONCAT(G13,H13:S13,T13)</f>
        <v>new UBeam("U5",2500,1000,17.5,21.5),</v>
      </c>
      <c r="G13" s="4" t="s">
        <v>20</v>
      </c>
      <c r="H13" s="4" t="s">
        <v>21</v>
      </c>
      <c r="I13" s="4" t="s">
        <v>12</v>
      </c>
      <c r="J13" s="4">
        <f t="shared" ref="J13:J14" si="4">J9+2</f>
        <v>5</v>
      </c>
      <c r="K13" s="4" t="s">
        <v>21</v>
      </c>
      <c r="L13" t="s">
        <v>5</v>
      </c>
      <c r="M13" s="4">
        <v>2500</v>
      </c>
      <c r="N13" t="s">
        <v>5</v>
      </c>
      <c r="O13" s="4">
        <v>1000</v>
      </c>
      <c r="P13" t="s">
        <v>5</v>
      </c>
      <c r="Q13" s="4">
        <v>17.5</v>
      </c>
      <c r="R13" t="s">
        <v>5</v>
      </c>
      <c r="S13" s="4">
        <v>21.5</v>
      </c>
      <c r="T13" t="s">
        <v>9</v>
      </c>
    </row>
    <row r="14" spans="2:20" x14ac:dyDescent="0.25">
      <c r="B14" t="str">
        <f t="shared" si="3"/>
        <v>new UBeam("U5",2000,1000,22,26),</v>
      </c>
      <c r="G14" s="4" t="s">
        <v>20</v>
      </c>
      <c r="H14" s="4" t="s">
        <v>21</v>
      </c>
      <c r="I14" s="4" t="s">
        <v>12</v>
      </c>
      <c r="J14" s="4">
        <f t="shared" si="4"/>
        <v>5</v>
      </c>
      <c r="K14" s="4" t="s">
        <v>21</v>
      </c>
      <c r="L14" t="s">
        <v>5</v>
      </c>
      <c r="M14" s="4">
        <v>2000</v>
      </c>
      <c r="N14" t="s">
        <v>5</v>
      </c>
      <c r="O14" s="4">
        <v>1000</v>
      </c>
      <c r="P14" t="s">
        <v>5</v>
      </c>
      <c r="Q14" s="4">
        <v>22</v>
      </c>
      <c r="R14" t="s">
        <v>5</v>
      </c>
      <c r="S14" s="4">
        <v>26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UBeam("U7",3000,1100,18.5,22.5),</v>
      </c>
      <c r="G16" s="4" t="s">
        <v>20</v>
      </c>
      <c r="H16" s="4" t="s">
        <v>21</v>
      </c>
      <c r="I16" s="4" t="s">
        <v>12</v>
      </c>
      <c r="J16" s="4">
        <f>J12+2</f>
        <v>7</v>
      </c>
      <c r="K16" s="4" t="s">
        <v>21</v>
      </c>
      <c r="L16" t="s">
        <v>5</v>
      </c>
      <c r="M16" s="4">
        <v>3000</v>
      </c>
      <c r="N16" t="s">
        <v>5</v>
      </c>
      <c r="O16" s="4">
        <v>1100</v>
      </c>
      <c r="P16" t="s">
        <v>5</v>
      </c>
      <c r="Q16" s="4">
        <v>18.5</v>
      </c>
      <c r="R16" t="s">
        <v>5</v>
      </c>
      <c r="S16" s="4">
        <v>22.5</v>
      </c>
      <c r="T16" t="s">
        <v>9</v>
      </c>
    </row>
    <row r="17" spans="2:20" x14ac:dyDescent="0.25">
      <c r="B17" t="str">
        <f t="shared" ref="B17:B18" si="5">_xlfn.CONCAT(G17,H17:S17,T17)</f>
        <v>new UBeam("U7",2500,1100,21,25),</v>
      </c>
      <c r="G17" s="4" t="s">
        <v>20</v>
      </c>
      <c r="H17" s="4" t="s">
        <v>21</v>
      </c>
      <c r="I17" s="4" t="s">
        <v>12</v>
      </c>
      <c r="J17" s="4">
        <f t="shared" ref="J17:J18" si="6">J13+2</f>
        <v>7</v>
      </c>
      <c r="K17" s="4" t="s">
        <v>21</v>
      </c>
      <c r="L17" t="s">
        <v>5</v>
      </c>
      <c r="M17" s="4">
        <v>2500</v>
      </c>
      <c r="N17" t="s">
        <v>5</v>
      </c>
      <c r="O17" s="4">
        <v>1100</v>
      </c>
      <c r="P17" t="s">
        <v>5</v>
      </c>
      <c r="Q17" s="4">
        <v>21</v>
      </c>
      <c r="R17" t="s">
        <v>5</v>
      </c>
      <c r="S17" s="4">
        <v>25</v>
      </c>
      <c r="T17" t="s">
        <v>9</v>
      </c>
    </row>
    <row r="18" spans="2:20" x14ac:dyDescent="0.25">
      <c r="B18" t="str">
        <f t="shared" si="5"/>
        <v>new UBeam("U7",2000,1100,24,28),</v>
      </c>
      <c r="G18" s="4" t="s">
        <v>20</v>
      </c>
      <c r="H18" s="4" t="s">
        <v>21</v>
      </c>
      <c r="I18" s="4" t="s">
        <v>12</v>
      </c>
      <c r="J18" s="4">
        <f t="shared" si="6"/>
        <v>7</v>
      </c>
      <c r="K18" s="4" t="s">
        <v>21</v>
      </c>
      <c r="L18" t="s">
        <v>5</v>
      </c>
      <c r="M18" s="4">
        <v>2000</v>
      </c>
      <c r="N18" t="s">
        <v>5</v>
      </c>
      <c r="O18" s="4">
        <v>1100</v>
      </c>
      <c r="P18" t="s">
        <v>5</v>
      </c>
      <c r="Q18" s="4">
        <v>24</v>
      </c>
      <c r="R18" t="s">
        <v>5</v>
      </c>
      <c r="S18" s="4">
        <v>28</v>
      </c>
      <c r="T18" t="s">
        <v>9</v>
      </c>
    </row>
    <row r="19" spans="2:20" x14ac:dyDescent="0.25">
      <c r="B19" t="str">
        <f>_xlfn.CONCAT(J19:S19)</f>
        <v/>
      </c>
      <c r="J19" s="4"/>
      <c r="K19" s="4"/>
      <c r="M19" s="4"/>
      <c r="N19" s="4"/>
      <c r="P19" s="4"/>
      <c r="R19" s="4"/>
    </row>
    <row r="20" spans="2:20" x14ac:dyDescent="0.25">
      <c r="B20" t="str">
        <f>_xlfn.CONCAT(G20,H20:S20,T20)</f>
        <v>new UBeam("U8",3000,1200,20,24),</v>
      </c>
      <c r="G20" s="4" t="s">
        <v>20</v>
      </c>
      <c r="H20" s="4" t="s">
        <v>21</v>
      </c>
      <c r="I20" s="4" t="s">
        <v>12</v>
      </c>
      <c r="J20" s="4">
        <v>8</v>
      </c>
      <c r="K20" s="4" t="s">
        <v>21</v>
      </c>
      <c r="L20" t="s">
        <v>5</v>
      </c>
      <c r="M20" s="4">
        <v>3000</v>
      </c>
      <c r="N20" t="s">
        <v>5</v>
      </c>
      <c r="O20" s="4">
        <v>1200</v>
      </c>
      <c r="P20" t="s">
        <v>5</v>
      </c>
      <c r="Q20" s="4">
        <v>20</v>
      </c>
      <c r="R20" t="s">
        <v>5</v>
      </c>
      <c r="S20" s="4">
        <v>24</v>
      </c>
      <c r="T20" t="s">
        <v>9</v>
      </c>
    </row>
    <row r="21" spans="2:20" x14ac:dyDescent="0.25">
      <c r="B21" t="str">
        <f t="shared" ref="B21:B22" si="7">_xlfn.CONCAT(G21,H21:S21,T21)</f>
        <v>new UBeam("U8",2500,1200,21,25),</v>
      </c>
      <c r="G21" s="4" t="s">
        <v>20</v>
      </c>
      <c r="H21" s="4" t="s">
        <v>21</v>
      </c>
      <c r="I21" s="4" t="s">
        <v>12</v>
      </c>
      <c r="J21" s="4">
        <v>8</v>
      </c>
      <c r="K21" s="4" t="s">
        <v>21</v>
      </c>
      <c r="L21" t="s">
        <v>5</v>
      </c>
      <c r="M21" s="4">
        <v>2500</v>
      </c>
      <c r="N21" t="s">
        <v>5</v>
      </c>
      <c r="O21" s="4">
        <v>1200</v>
      </c>
      <c r="P21" t="s">
        <v>5</v>
      </c>
      <c r="Q21" s="4">
        <v>21</v>
      </c>
      <c r="R21" t="s">
        <v>5</v>
      </c>
      <c r="S21" s="4">
        <v>25</v>
      </c>
      <c r="T21" t="s">
        <v>9</v>
      </c>
    </row>
    <row r="22" spans="2:20" x14ac:dyDescent="0.25">
      <c r="B22" t="str">
        <f t="shared" si="7"/>
        <v>new UBeam("U8",2000,1200,24,28),</v>
      </c>
      <c r="G22" s="4" t="s">
        <v>20</v>
      </c>
      <c r="H22" s="4" t="s">
        <v>21</v>
      </c>
      <c r="I22" s="4" t="s">
        <v>12</v>
      </c>
      <c r="J22" s="4">
        <v>8</v>
      </c>
      <c r="K22" s="4" t="s">
        <v>21</v>
      </c>
      <c r="L22" t="s">
        <v>5</v>
      </c>
      <c r="M22" s="4">
        <v>2000</v>
      </c>
      <c r="N22" t="s">
        <v>5</v>
      </c>
      <c r="O22" s="4">
        <v>1200</v>
      </c>
      <c r="P22" t="s">
        <v>5</v>
      </c>
      <c r="Q22" s="4">
        <v>24</v>
      </c>
      <c r="R22" t="s">
        <v>5</v>
      </c>
      <c r="S22" s="4">
        <v>28</v>
      </c>
      <c r="T22" t="s">
        <v>9</v>
      </c>
    </row>
    <row r="23" spans="2:20" x14ac:dyDescent="0.25">
      <c r="B23" t="str">
        <f>_xlfn.CONCAT(J23:S23)</f>
        <v/>
      </c>
      <c r="J23" s="4"/>
      <c r="K23" s="4"/>
      <c r="M23" s="4"/>
      <c r="N23" s="4"/>
      <c r="P23" s="4"/>
      <c r="R23" s="4"/>
    </row>
    <row r="24" spans="2:20" x14ac:dyDescent="0.25">
      <c r="B24" t="str">
        <f>_xlfn.CONCAT(G24,H24:S24,T24)</f>
        <v>new UBeam("U9",3000,1300,21.5,25.5),</v>
      </c>
      <c r="G24" s="4" t="s">
        <v>20</v>
      </c>
      <c r="H24" s="4" t="s">
        <v>21</v>
      </c>
      <c r="I24" s="4" t="s">
        <v>12</v>
      </c>
      <c r="J24" s="4">
        <v>9</v>
      </c>
      <c r="K24" s="4" t="s">
        <v>21</v>
      </c>
      <c r="L24" t="s">
        <v>5</v>
      </c>
      <c r="M24" s="4">
        <v>3000</v>
      </c>
      <c r="N24" t="s">
        <v>5</v>
      </c>
      <c r="O24" s="4">
        <v>1300</v>
      </c>
      <c r="P24" t="s">
        <v>5</v>
      </c>
      <c r="Q24" s="4">
        <v>21.5</v>
      </c>
      <c r="R24" t="s">
        <v>5</v>
      </c>
      <c r="S24" s="4">
        <f>Q24+4</f>
        <v>25.5</v>
      </c>
      <c r="T24" t="s">
        <v>9</v>
      </c>
    </row>
    <row r="25" spans="2:20" x14ac:dyDescent="0.25">
      <c r="B25" t="str">
        <f t="shared" ref="B25:B26" si="8">_xlfn.CONCAT(G25,H25:S25,T25)</f>
        <v>new UBeam("U9",2500,1300,22.5,26.5),</v>
      </c>
      <c r="G25" s="4" t="s">
        <v>20</v>
      </c>
      <c r="H25" s="4" t="s">
        <v>21</v>
      </c>
      <c r="I25" s="4" t="s">
        <v>12</v>
      </c>
      <c r="J25" s="4">
        <v>9</v>
      </c>
      <c r="K25" s="4" t="s">
        <v>21</v>
      </c>
      <c r="L25" t="s">
        <v>5</v>
      </c>
      <c r="M25" s="4">
        <v>2500</v>
      </c>
      <c r="N25" t="s">
        <v>5</v>
      </c>
      <c r="O25" s="4">
        <v>1300</v>
      </c>
      <c r="P25" t="s">
        <v>5</v>
      </c>
      <c r="Q25" s="4">
        <v>22.5</v>
      </c>
      <c r="R25" t="s">
        <v>5</v>
      </c>
      <c r="S25" s="4">
        <f t="shared" ref="S25:S26" si="9">Q25+4</f>
        <v>26.5</v>
      </c>
      <c r="T25" t="s">
        <v>9</v>
      </c>
    </row>
    <row r="26" spans="2:20" x14ac:dyDescent="0.25">
      <c r="B26" t="str">
        <f t="shared" si="8"/>
        <v>new UBeam("U9",2000,1300,26,30),</v>
      </c>
      <c r="G26" s="4" t="s">
        <v>20</v>
      </c>
      <c r="H26" s="4" t="s">
        <v>21</v>
      </c>
      <c r="I26" s="4" t="s">
        <v>12</v>
      </c>
      <c r="J26" s="4">
        <v>9</v>
      </c>
      <c r="K26" s="4" t="s">
        <v>21</v>
      </c>
      <c r="L26" t="s">
        <v>5</v>
      </c>
      <c r="M26" s="4">
        <v>2000</v>
      </c>
      <c r="N26" t="s">
        <v>5</v>
      </c>
      <c r="O26" s="4">
        <v>1300</v>
      </c>
      <c r="P26" t="s">
        <v>5</v>
      </c>
      <c r="Q26" s="4">
        <v>26</v>
      </c>
      <c r="R26" t="s">
        <v>5</v>
      </c>
      <c r="S26" s="4">
        <f t="shared" si="9"/>
        <v>30</v>
      </c>
      <c r="T26" t="s">
        <v>9</v>
      </c>
    </row>
    <row r="27" spans="2:20" x14ac:dyDescent="0.25">
      <c r="B27" t="str">
        <f>_xlfn.CONCAT(J27:S27)</f>
        <v/>
      </c>
      <c r="J27" s="4"/>
      <c r="K27" s="4"/>
    </row>
    <row r="28" spans="2:20" x14ac:dyDescent="0.25">
      <c r="B28" t="str">
        <f>_xlfn.CONCAT(G28,H28:S28,T28)</f>
        <v>new UBeam("U10",3000,1400,23,27),</v>
      </c>
      <c r="G28" s="4" t="s">
        <v>20</v>
      </c>
      <c r="H28" s="4" t="s">
        <v>21</v>
      </c>
      <c r="I28" s="4" t="s">
        <v>12</v>
      </c>
      <c r="J28" s="4">
        <v>10</v>
      </c>
      <c r="K28" s="4" t="s">
        <v>21</v>
      </c>
      <c r="L28" t="s">
        <v>5</v>
      </c>
      <c r="M28" s="4">
        <v>3000</v>
      </c>
      <c r="N28" t="s">
        <v>5</v>
      </c>
      <c r="O28" s="4">
        <v>1400</v>
      </c>
      <c r="P28" t="s">
        <v>5</v>
      </c>
      <c r="Q28" s="4">
        <v>23</v>
      </c>
      <c r="R28" t="s">
        <v>5</v>
      </c>
      <c r="S28" s="4">
        <f>Q28+4</f>
        <v>27</v>
      </c>
      <c r="T28" t="s">
        <v>9</v>
      </c>
    </row>
    <row r="29" spans="2:20" x14ac:dyDescent="0.25">
      <c r="B29" t="str">
        <f t="shared" ref="B29:B30" si="10">_xlfn.CONCAT(G29,H29:S29,T29)</f>
        <v>new UBeam("U10",2500,1400,24.5,28.5),</v>
      </c>
      <c r="G29" s="4" t="s">
        <v>20</v>
      </c>
      <c r="H29" s="4" t="s">
        <v>21</v>
      </c>
      <c r="I29" s="4" t="s">
        <v>12</v>
      </c>
      <c r="J29" s="4">
        <v>10</v>
      </c>
      <c r="K29" s="4" t="s">
        <v>21</v>
      </c>
      <c r="L29" t="s">
        <v>5</v>
      </c>
      <c r="M29" s="4">
        <v>2500</v>
      </c>
      <c r="N29" t="s">
        <v>5</v>
      </c>
      <c r="O29" s="4">
        <v>1400</v>
      </c>
      <c r="P29" t="s">
        <v>5</v>
      </c>
      <c r="Q29" s="4">
        <v>24.5</v>
      </c>
      <c r="R29" t="s">
        <v>5</v>
      </c>
      <c r="S29" s="4">
        <f t="shared" ref="S29:S30" si="11">Q29+4</f>
        <v>28.5</v>
      </c>
      <c r="T29" t="s">
        <v>9</v>
      </c>
    </row>
    <row r="30" spans="2:20" x14ac:dyDescent="0.25">
      <c r="B30" t="str">
        <f t="shared" si="10"/>
        <v>new UBeam("U10",2000,1400,27.5,31.5),</v>
      </c>
      <c r="G30" s="4" t="s">
        <v>20</v>
      </c>
      <c r="H30" s="4" t="s">
        <v>21</v>
      </c>
      <c r="I30" s="4" t="s">
        <v>12</v>
      </c>
      <c r="J30" s="4">
        <v>10</v>
      </c>
      <c r="K30" s="4" t="s">
        <v>21</v>
      </c>
      <c r="L30" t="s">
        <v>5</v>
      </c>
      <c r="M30" s="4">
        <v>2000</v>
      </c>
      <c r="N30" t="s">
        <v>5</v>
      </c>
      <c r="O30" s="4">
        <v>1400</v>
      </c>
      <c r="P30" t="s">
        <v>5</v>
      </c>
      <c r="Q30" s="4">
        <v>27.5</v>
      </c>
      <c r="R30" t="s">
        <v>5</v>
      </c>
      <c r="S30" s="4">
        <f t="shared" si="11"/>
        <v>31.5</v>
      </c>
      <c r="T30" t="s">
        <v>9</v>
      </c>
    </row>
    <row r="31" spans="2:20" x14ac:dyDescent="0.25">
      <c r="B31" t="str">
        <f>_xlfn.CONCAT(J31:S31)</f>
        <v/>
      </c>
      <c r="J31" s="4"/>
      <c r="K31" s="4"/>
    </row>
    <row r="32" spans="2:20" x14ac:dyDescent="0.25">
      <c r="B32" t="str">
        <f>_xlfn.CONCAT(G32,H32:S32,T32)</f>
        <v>new UBeam("U11",3000,1500,25,29),</v>
      </c>
      <c r="G32" s="4" t="s">
        <v>20</v>
      </c>
      <c r="H32" s="4" t="s">
        <v>21</v>
      </c>
      <c r="I32" s="4" t="s">
        <v>12</v>
      </c>
      <c r="J32" s="4">
        <v>11</v>
      </c>
      <c r="K32" s="4" t="s">
        <v>21</v>
      </c>
      <c r="L32" t="s">
        <v>5</v>
      </c>
      <c r="M32" s="4">
        <v>3000</v>
      </c>
      <c r="N32" t="s">
        <v>5</v>
      </c>
      <c r="O32" s="4">
        <v>1500</v>
      </c>
      <c r="P32" t="s">
        <v>5</v>
      </c>
      <c r="Q32" s="4">
        <v>25</v>
      </c>
      <c r="R32" t="s">
        <v>5</v>
      </c>
      <c r="S32" s="4">
        <f>Q32+4</f>
        <v>29</v>
      </c>
      <c r="T32" t="s">
        <v>9</v>
      </c>
    </row>
    <row r="33" spans="2:20" x14ac:dyDescent="0.25">
      <c r="B33" t="str">
        <f t="shared" ref="B33:B34" si="12">_xlfn.CONCAT(G33,H33:S33,T33)</f>
        <v>new UBeam("U11",2500,1500,26,30),</v>
      </c>
      <c r="G33" s="4" t="s">
        <v>20</v>
      </c>
      <c r="H33" s="4" t="s">
        <v>21</v>
      </c>
      <c r="I33" s="4" t="s">
        <v>12</v>
      </c>
      <c r="J33" s="4">
        <v>11</v>
      </c>
      <c r="K33" s="4" t="s">
        <v>21</v>
      </c>
      <c r="L33" t="s">
        <v>5</v>
      </c>
      <c r="M33" s="4">
        <v>2500</v>
      </c>
      <c r="N33" t="s">
        <v>5</v>
      </c>
      <c r="O33" s="4">
        <v>1500</v>
      </c>
      <c r="P33" t="s">
        <v>5</v>
      </c>
      <c r="Q33" s="4">
        <v>26</v>
      </c>
      <c r="R33" t="s">
        <v>5</v>
      </c>
      <c r="S33" s="4">
        <f t="shared" ref="S33:S34" si="13">Q33+4</f>
        <v>30</v>
      </c>
      <c r="T33" t="s">
        <v>9</v>
      </c>
    </row>
    <row r="34" spans="2:20" x14ac:dyDescent="0.25">
      <c r="B34" t="str">
        <f t="shared" si="12"/>
        <v>new UBeam("U11",2000,1500,29.5,33.5),</v>
      </c>
      <c r="G34" s="4" t="s">
        <v>20</v>
      </c>
      <c r="H34" s="4" t="s">
        <v>21</v>
      </c>
      <c r="I34" s="4" t="s">
        <v>12</v>
      </c>
      <c r="J34" s="4">
        <v>11</v>
      </c>
      <c r="K34" s="4" t="s">
        <v>21</v>
      </c>
      <c r="L34" t="s">
        <v>5</v>
      </c>
      <c r="M34" s="4">
        <v>2000</v>
      </c>
      <c r="N34" t="s">
        <v>5</v>
      </c>
      <c r="O34" s="4">
        <v>1500</v>
      </c>
      <c r="P34" t="s">
        <v>5</v>
      </c>
      <c r="Q34" s="4">
        <v>29.5</v>
      </c>
      <c r="R34" t="s">
        <v>5</v>
      </c>
      <c r="S34" s="4">
        <f t="shared" si="13"/>
        <v>33.5</v>
      </c>
      <c r="T34" t="s">
        <v>9</v>
      </c>
    </row>
    <row r="36" spans="2:20" x14ac:dyDescent="0.25">
      <c r="B36" t="str">
        <f>_xlfn.CONCAT(G36,H36:S36,T36)</f>
        <v>new UBeam("U12",3000,1600,26.5,30.5),</v>
      </c>
      <c r="G36" s="4" t="s">
        <v>20</v>
      </c>
      <c r="H36" s="4" t="s">
        <v>21</v>
      </c>
      <c r="I36" s="4" t="s">
        <v>12</v>
      </c>
      <c r="J36" s="4">
        <v>12</v>
      </c>
      <c r="K36" s="4" t="s">
        <v>21</v>
      </c>
      <c r="L36" t="s">
        <v>5</v>
      </c>
      <c r="M36" s="4">
        <v>3000</v>
      </c>
      <c r="N36" t="s">
        <v>5</v>
      </c>
      <c r="O36" s="4">
        <v>1600</v>
      </c>
      <c r="P36" t="s">
        <v>5</v>
      </c>
      <c r="Q36" s="4">
        <v>26.5</v>
      </c>
      <c r="R36" t="s">
        <v>5</v>
      </c>
      <c r="S36" s="4">
        <f>Q36+4</f>
        <v>30.5</v>
      </c>
      <c r="T36" t="s">
        <v>9</v>
      </c>
    </row>
    <row r="37" spans="2:20" x14ac:dyDescent="0.25">
      <c r="B37" t="str">
        <f t="shared" ref="B37:B38" si="14">_xlfn.CONCAT(G37,H37:S37,T37)</f>
        <v>new UBeam("U12",2500,1600,28,32),</v>
      </c>
      <c r="G37" s="4" t="s">
        <v>20</v>
      </c>
      <c r="H37" s="4" t="s">
        <v>21</v>
      </c>
      <c r="I37" s="4" t="s">
        <v>12</v>
      </c>
      <c r="J37" s="4">
        <v>12</v>
      </c>
      <c r="K37" s="4" t="s">
        <v>21</v>
      </c>
      <c r="L37" t="s">
        <v>5</v>
      </c>
      <c r="M37" s="4">
        <v>2500</v>
      </c>
      <c r="N37" t="s">
        <v>5</v>
      </c>
      <c r="O37" s="4">
        <v>1600</v>
      </c>
      <c r="P37" t="s">
        <v>5</v>
      </c>
      <c r="Q37" s="4">
        <v>28</v>
      </c>
      <c r="R37" t="s">
        <v>5</v>
      </c>
      <c r="S37" s="4">
        <f t="shared" ref="S37:S38" si="15">Q37+4</f>
        <v>32</v>
      </c>
      <c r="T37" t="s">
        <v>9</v>
      </c>
    </row>
    <row r="38" spans="2:20" x14ac:dyDescent="0.25">
      <c r="B38" t="str">
        <f t="shared" si="14"/>
        <v>new UBeam("U12",2000,1600,31.5,35.5),</v>
      </c>
      <c r="G38" s="4" t="s">
        <v>20</v>
      </c>
      <c r="H38" s="4" t="s">
        <v>21</v>
      </c>
      <c r="I38" s="4" t="s">
        <v>12</v>
      </c>
      <c r="J38" s="4">
        <v>12</v>
      </c>
      <c r="K38" s="4" t="s">
        <v>21</v>
      </c>
      <c r="L38" t="s">
        <v>5</v>
      </c>
      <c r="M38" s="4">
        <v>2000</v>
      </c>
      <c r="N38" t="s">
        <v>5</v>
      </c>
      <c r="O38" s="4">
        <v>1600</v>
      </c>
      <c r="P38" t="s">
        <v>5</v>
      </c>
      <c r="Q38" s="4">
        <v>31.5</v>
      </c>
      <c r="R38" t="s">
        <v>5</v>
      </c>
      <c r="S38" s="4">
        <f t="shared" si="15"/>
        <v>35.5</v>
      </c>
      <c r="T38" t="s">
        <v>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E529B-4826-4550-AF83-3573F75C7053}">
  <dimension ref="B2:T26"/>
  <sheetViews>
    <sheetView zoomScaleNormal="100" workbookViewId="0">
      <selection activeCell="Q28" sqref="Q28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22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BoxBeam("Box300",495,800,5,9),</v>
      </c>
      <c r="G4" s="9" t="s">
        <v>23</v>
      </c>
      <c r="H4" s="4" t="s">
        <v>21</v>
      </c>
      <c r="I4" s="4" t="s">
        <v>16</v>
      </c>
      <c r="J4" s="4">
        <v>300</v>
      </c>
      <c r="K4" s="4" t="s">
        <v>21</v>
      </c>
      <c r="L4" t="s">
        <v>5</v>
      </c>
      <c r="M4" s="4">
        <v>495</v>
      </c>
      <c r="N4" t="s">
        <v>5</v>
      </c>
      <c r="O4" s="4">
        <v>800</v>
      </c>
      <c r="P4" t="s">
        <v>5</v>
      </c>
      <c r="Q4" s="4">
        <v>5</v>
      </c>
      <c r="R4" t="s">
        <v>5</v>
      </c>
      <c r="S4" s="4">
        <f>Q4+4</f>
        <v>9</v>
      </c>
      <c r="T4" t="s">
        <v>9</v>
      </c>
    </row>
    <row r="5" spans="2:20" x14ac:dyDescent="0.25">
      <c r="B5" t="str">
        <f t="shared" ref="B5:B6" si="0">_xlfn.CONCAT(G5,H5:S5,T5)</f>
        <v>new BoxBeam("Box300",750,800,5.5,9.5),</v>
      </c>
      <c r="G5" s="9" t="s">
        <v>23</v>
      </c>
      <c r="H5" s="4" t="s">
        <v>21</v>
      </c>
      <c r="I5" s="4" t="s">
        <v>16</v>
      </c>
      <c r="J5" s="4">
        <v>300</v>
      </c>
      <c r="K5" s="4" t="s">
        <v>21</v>
      </c>
      <c r="L5" t="s">
        <v>5</v>
      </c>
      <c r="M5" s="4">
        <v>750</v>
      </c>
      <c r="N5" t="s">
        <v>5</v>
      </c>
      <c r="O5" s="4">
        <v>800</v>
      </c>
      <c r="P5" t="s">
        <v>5</v>
      </c>
      <c r="Q5" s="4">
        <v>5.5</v>
      </c>
      <c r="R5" t="s">
        <v>5</v>
      </c>
      <c r="S5" s="4">
        <f t="shared" ref="S5:S6" si="1">Q5+4</f>
        <v>9.5</v>
      </c>
      <c r="T5" t="s">
        <v>9</v>
      </c>
    </row>
    <row r="6" spans="2:20" x14ac:dyDescent="0.25">
      <c r="B6" t="str">
        <f t="shared" si="0"/>
        <v>new BoxBeam("Box300",970,800,5.5,9.5),</v>
      </c>
      <c r="G6" s="9" t="s">
        <v>23</v>
      </c>
      <c r="H6" s="4" t="s">
        <v>21</v>
      </c>
      <c r="I6" s="4" t="s">
        <v>16</v>
      </c>
      <c r="J6" s="4">
        <v>300</v>
      </c>
      <c r="K6" s="4" t="s">
        <v>21</v>
      </c>
      <c r="L6" t="s">
        <v>5</v>
      </c>
      <c r="M6" s="4">
        <v>970</v>
      </c>
      <c r="N6" t="s">
        <v>5</v>
      </c>
      <c r="O6" s="4">
        <v>800</v>
      </c>
      <c r="P6" t="s">
        <v>5</v>
      </c>
      <c r="Q6" s="4">
        <v>5.5</v>
      </c>
      <c r="R6" t="s">
        <v>5</v>
      </c>
      <c r="S6" s="4">
        <f t="shared" si="1"/>
        <v>9.5</v>
      </c>
      <c r="T6" t="s">
        <v>9</v>
      </c>
    </row>
    <row r="7" spans="2:20" x14ac:dyDescent="0.25">
      <c r="B7" t="str">
        <f>_xlfn.CONCAT(J7:S7)</f>
        <v/>
      </c>
      <c r="J7" s="4"/>
      <c r="K7" s="4"/>
      <c r="M7" s="4"/>
      <c r="N7" s="4"/>
      <c r="P7" s="4"/>
      <c r="R7" s="4"/>
    </row>
    <row r="8" spans="2:20" x14ac:dyDescent="0.25">
      <c r="B8" t="str">
        <f>_xlfn.CONCAT(G8,H8:S8,T8)</f>
        <v>new BoxBeam("Box400",495,900,8,12),</v>
      </c>
      <c r="G8" s="9" t="s">
        <v>23</v>
      </c>
      <c r="H8" s="4" t="s">
        <v>21</v>
      </c>
      <c r="I8" s="4" t="s">
        <v>16</v>
      </c>
      <c r="J8" s="4">
        <v>400</v>
      </c>
      <c r="K8" s="4" t="s">
        <v>21</v>
      </c>
      <c r="L8" t="s">
        <v>5</v>
      </c>
      <c r="M8" s="4">
        <v>495</v>
      </c>
      <c r="N8" t="s">
        <v>5</v>
      </c>
      <c r="O8" s="4">
        <v>900</v>
      </c>
      <c r="P8" t="s">
        <v>5</v>
      </c>
      <c r="Q8" s="4">
        <v>8</v>
      </c>
      <c r="R8" t="s">
        <v>5</v>
      </c>
      <c r="S8" s="4">
        <f>Q8+4</f>
        <v>12</v>
      </c>
      <c r="T8" t="s">
        <v>9</v>
      </c>
    </row>
    <row r="9" spans="2:20" x14ac:dyDescent="0.25">
      <c r="B9" t="str">
        <f t="shared" ref="B9:B10" si="2">_xlfn.CONCAT(G9,H9:S9,T9)</f>
        <v>new BoxBeam("Box400",750,900,8.5,12.5),</v>
      </c>
      <c r="G9" s="9" t="s">
        <v>23</v>
      </c>
      <c r="H9" s="4" t="s">
        <v>21</v>
      </c>
      <c r="I9" s="4" t="s">
        <v>16</v>
      </c>
      <c r="J9" s="4">
        <v>400</v>
      </c>
      <c r="K9" s="4" t="s">
        <v>21</v>
      </c>
      <c r="L9" t="s">
        <v>5</v>
      </c>
      <c r="M9" s="4">
        <v>750</v>
      </c>
      <c r="N9" t="s">
        <v>5</v>
      </c>
      <c r="O9" s="4">
        <v>900</v>
      </c>
      <c r="P9" t="s">
        <v>5</v>
      </c>
      <c r="Q9" s="4">
        <v>8.5</v>
      </c>
      <c r="R9" t="s">
        <v>5</v>
      </c>
      <c r="S9" s="4">
        <f t="shared" ref="S9:S10" si="3">Q9+4</f>
        <v>12.5</v>
      </c>
      <c r="T9" t="s">
        <v>9</v>
      </c>
    </row>
    <row r="10" spans="2:20" x14ac:dyDescent="0.25">
      <c r="B10" t="str">
        <f t="shared" si="2"/>
        <v>new BoxBeam("Box400",970,900,9,13),</v>
      </c>
      <c r="G10" s="9" t="s">
        <v>23</v>
      </c>
      <c r="H10" s="4" t="s">
        <v>21</v>
      </c>
      <c r="I10" s="4" t="s">
        <v>16</v>
      </c>
      <c r="J10" s="4">
        <v>400</v>
      </c>
      <c r="K10" s="4" t="s">
        <v>21</v>
      </c>
      <c r="L10" t="s">
        <v>5</v>
      </c>
      <c r="M10" s="4">
        <v>970</v>
      </c>
      <c r="N10" t="s">
        <v>5</v>
      </c>
      <c r="O10" s="4">
        <v>900</v>
      </c>
      <c r="P10" t="s">
        <v>5</v>
      </c>
      <c r="Q10" s="4">
        <v>9</v>
      </c>
      <c r="R10" t="s">
        <v>5</v>
      </c>
      <c r="S10" s="4">
        <f t="shared" si="3"/>
        <v>13</v>
      </c>
      <c r="T10" t="s">
        <v>9</v>
      </c>
    </row>
    <row r="11" spans="2:20" x14ac:dyDescent="0.25">
      <c r="B11" t="str">
        <f>_xlfn.CONCAT(J11:S11)</f>
        <v/>
      </c>
      <c r="J11" s="4"/>
      <c r="K11" s="4"/>
      <c r="M11" s="4"/>
      <c r="N11" s="4"/>
      <c r="P11" s="4"/>
      <c r="R11" s="4"/>
    </row>
    <row r="12" spans="2:20" x14ac:dyDescent="0.25">
      <c r="B12" t="str">
        <f>_xlfn.CONCAT(G12,H12:S12,T12)</f>
        <v>new BoxBeam("Box500",495,1000,11,15),</v>
      </c>
      <c r="G12" s="9" t="s">
        <v>23</v>
      </c>
      <c r="H12" s="4" t="s">
        <v>21</v>
      </c>
      <c r="I12" s="4" t="s">
        <v>16</v>
      </c>
      <c r="J12" s="4">
        <v>500</v>
      </c>
      <c r="K12" s="4" t="s">
        <v>21</v>
      </c>
      <c r="L12" t="s">
        <v>5</v>
      </c>
      <c r="M12" s="4">
        <v>495</v>
      </c>
      <c r="N12" t="s">
        <v>5</v>
      </c>
      <c r="O12" s="4">
        <v>1000</v>
      </c>
      <c r="P12" t="s">
        <v>5</v>
      </c>
      <c r="Q12" s="4">
        <v>11</v>
      </c>
      <c r="R12" t="s">
        <v>5</v>
      </c>
      <c r="S12" s="4">
        <f>Q12+4</f>
        <v>15</v>
      </c>
      <c r="T12" t="s">
        <v>9</v>
      </c>
    </row>
    <row r="13" spans="2:20" x14ac:dyDescent="0.25">
      <c r="B13" t="str">
        <f t="shared" ref="B13:B14" si="4">_xlfn.CONCAT(G13,H13:S13,T13)</f>
        <v>new BoxBeam("Box500",750,1000,12,16),</v>
      </c>
      <c r="G13" s="9" t="s">
        <v>23</v>
      </c>
      <c r="H13" s="4" t="s">
        <v>21</v>
      </c>
      <c r="I13" s="4" t="s">
        <v>16</v>
      </c>
      <c r="J13" s="4">
        <v>500</v>
      </c>
      <c r="K13" s="4" t="s">
        <v>21</v>
      </c>
      <c r="L13" t="s">
        <v>5</v>
      </c>
      <c r="M13" s="4">
        <v>750</v>
      </c>
      <c r="N13" t="s">
        <v>5</v>
      </c>
      <c r="O13" s="4">
        <v>1000</v>
      </c>
      <c r="P13" t="s">
        <v>5</v>
      </c>
      <c r="Q13" s="4">
        <v>12</v>
      </c>
      <c r="R13" t="s">
        <v>5</v>
      </c>
      <c r="S13" s="4">
        <f t="shared" ref="S13:S14" si="5">Q13+4</f>
        <v>16</v>
      </c>
      <c r="T13" t="s">
        <v>9</v>
      </c>
    </row>
    <row r="14" spans="2:20" x14ac:dyDescent="0.25">
      <c r="B14" t="str">
        <f t="shared" si="4"/>
        <v>new BoxBeam("Box500",970,1000,12,16),</v>
      </c>
      <c r="G14" s="9" t="s">
        <v>23</v>
      </c>
      <c r="H14" s="4" t="s">
        <v>21</v>
      </c>
      <c r="I14" s="4" t="s">
        <v>16</v>
      </c>
      <c r="J14" s="4">
        <v>500</v>
      </c>
      <c r="K14" s="4" t="s">
        <v>21</v>
      </c>
      <c r="L14" t="s">
        <v>5</v>
      </c>
      <c r="M14" s="4">
        <v>970</v>
      </c>
      <c r="N14" t="s">
        <v>5</v>
      </c>
      <c r="O14" s="4">
        <v>1000</v>
      </c>
      <c r="P14" t="s">
        <v>5</v>
      </c>
      <c r="Q14" s="4">
        <v>12</v>
      </c>
      <c r="R14" t="s">
        <v>5</v>
      </c>
      <c r="S14" s="4">
        <f t="shared" si="5"/>
        <v>16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BoxBeam("Box600",495,1100,14.5,18.5),</v>
      </c>
      <c r="G16" s="9" t="s">
        <v>23</v>
      </c>
      <c r="H16" s="4" t="s">
        <v>21</v>
      </c>
      <c r="I16" s="4" t="s">
        <v>16</v>
      </c>
      <c r="J16" s="4">
        <v>600</v>
      </c>
      <c r="K16" s="4" t="s">
        <v>21</v>
      </c>
      <c r="L16" t="s">
        <v>5</v>
      </c>
      <c r="M16" s="4">
        <v>495</v>
      </c>
      <c r="N16" t="s">
        <v>5</v>
      </c>
      <c r="O16" s="4">
        <v>1100</v>
      </c>
      <c r="P16" t="s">
        <v>5</v>
      </c>
      <c r="Q16" s="4">
        <v>14.5</v>
      </c>
      <c r="R16" t="s">
        <v>5</v>
      </c>
      <c r="S16" s="4">
        <f>Q16+4</f>
        <v>18.5</v>
      </c>
      <c r="T16" t="s">
        <v>9</v>
      </c>
    </row>
    <row r="17" spans="2:20" x14ac:dyDescent="0.25">
      <c r="B17" t="str">
        <f t="shared" ref="B17:B18" si="6">_xlfn.CONCAT(G17,H17:S17,T17)</f>
        <v>new BoxBeam("Box600",750,1100,15,19),</v>
      </c>
      <c r="G17" s="9" t="s">
        <v>23</v>
      </c>
      <c r="H17" s="4" t="s">
        <v>21</v>
      </c>
      <c r="I17" s="4" t="s">
        <v>16</v>
      </c>
      <c r="J17" s="4">
        <v>600</v>
      </c>
      <c r="K17" s="4" t="s">
        <v>21</v>
      </c>
      <c r="L17" t="s">
        <v>5</v>
      </c>
      <c r="M17" s="4">
        <v>750</v>
      </c>
      <c r="N17" t="s">
        <v>5</v>
      </c>
      <c r="O17" s="4">
        <v>1100</v>
      </c>
      <c r="P17" t="s">
        <v>5</v>
      </c>
      <c r="Q17" s="4">
        <v>15</v>
      </c>
      <c r="R17" t="s">
        <v>5</v>
      </c>
      <c r="S17" s="4">
        <f t="shared" ref="S17:S18" si="7">Q17+4</f>
        <v>19</v>
      </c>
      <c r="T17" t="s">
        <v>9</v>
      </c>
    </row>
    <row r="18" spans="2:20" x14ac:dyDescent="0.25">
      <c r="B18" t="str">
        <f t="shared" si="6"/>
        <v>new BoxBeam("Box600",970,1100,15,19),</v>
      </c>
      <c r="G18" s="9" t="s">
        <v>23</v>
      </c>
      <c r="H18" s="4" t="s">
        <v>21</v>
      </c>
      <c r="I18" s="4" t="s">
        <v>16</v>
      </c>
      <c r="J18" s="4">
        <v>600</v>
      </c>
      <c r="K18" s="4" t="s">
        <v>21</v>
      </c>
      <c r="L18" t="s">
        <v>5</v>
      </c>
      <c r="M18" s="4">
        <v>970</v>
      </c>
      <c r="N18" t="s">
        <v>5</v>
      </c>
      <c r="O18" s="4">
        <v>1100</v>
      </c>
      <c r="P18" t="s">
        <v>5</v>
      </c>
      <c r="Q18" s="4">
        <v>15</v>
      </c>
      <c r="R18" t="s">
        <v>5</v>
      </c>
      <c r="S18" s="4">
        <f t="shared" si="7"/>
        <v>19</v>
      </c>
      <c r="T18" t="s">
        <v>9</v>
      </c>
    </row>
    <row r="19" spans="2:20" x14ac:dyDescent="0.25">
      <c r="B19" t="str">
        <f>_xlfn.CONCAT(J19:S19)</f>
        <v/>
      </c>
      <c r="J19" s="4"/>
      <c r="K19" s="4"/>
      <c r="M19" s="4"/>
      <c r="N19" s="4"/>
      <c r="P19" s="4"/>
      <c r="R19" s="4"/>
    </row>
    <row r="20" spans="2:20" x14ac:dyDescent="0.25">
      <c r="B20" t="str">
        <f>_xlfn.CONCAT(G20,H20:S20,T20)</f>
        <v>new BoxBeam("Box700",495,1200,17,21),</v>
      </c>
      <c r="G20" s="9" t="s">
        <v>23</v>
      </c>
      <c r="H20" s="4" t="s">
        <v>21</v>
      </c>
      <c r="I20" s="4" t="s">
        <v>16</v>
      </c>
      <c r="J20" s="4">
        <v>700</v>
      </c>
      <c r="K20" s="4" t="s">
        <v>21</v>
      </c>
      <c r="L20" t="s">
        <v>5</v>
      </c>
      <c r="M20" s="4">
        <v>495</v>
      </c>
      <c r="N20" t="s">
        <v>5</v>
      </c>
      <c r="O20" s="4">
        <v>1200</v>
      </c>
      <c r="P20" t="s">
        <v>5</v>
      </c>
      <c r="Q20" s="4">
        <v>17</v>
      </c>
      <c r="R20" t="s">
        <v>5</v>
      </c>
      <c r="S20" s="4">
        <f>Q20+4</f>
        <v>21</v>
      </c>
      <c r="T20" t="s">
        <v>9</v>
      </c>
    </row>
    <row r="21" spans="2:20" x14ac:dyDescent="0.25">
      <c r="B21" t="str">
        <f t="shared" ref="B21:B22" si="8">_xlfn.CONCAT(G21,H21:S21,T21)</f>
        <v>new BoxBeam("Box700",750,1200,18,22),</v>
      </c>
      <c r="G21" s="9" t="s">
        <v>23</v>
      </c>
      <c r="H21" s="4" t="s">
        <v>21</v>
      </c>
      <c r="I21" s="4" t="s">
        <v>16</v>
      </c>
      <c r="J21" s="4">
        <v>700</v>
      </c>
      <c r="K21" s="4" t="s">
        <v>21</v>
      </c>
      <c r="L21" t="s">
        <v>5</v>
      </c>
      <c r="M21" s="4">
        <v>750</v>
      </c>
      <c r="N21" t="s">
        <v>5</v>
      </c>
      <c r="O21" s="4">
        <v>1200</v>
      </c>
      <c r="P21" t="s">
        <v>5</v>
      </c>
      <c r="Q21" s="4">
        <v>18</v>
      </c>
      <c r="R21" t="s">
        <v>5</v>
      </c>
      <c r="S21" s="4">
        <f t="shared" ref="S21:S22" si="9">Q21+4</f>
        <v>22</v>
      </c>
      <c r="T21" t="s">
        <v>9</v>
      </c>
    </row>
    <row r="22" spans="2:20" x14ac:dyDescent="0.25">
      <c r="B22" t="str">
        <f t="shared" si="8"/>
        <v>new BoxBeam("Box700",970,1200,17.5,21.5),</v>
      </c>
      <c r="G22" s="9" t="s">
        <v>23</v>
      </c>
      <c r="H22" s="4" t="s">
        <v>21</v>
      </c>
      <c r="I22" s="4" t="s">
        <v>16</v>
      </c>
      <c r="J22" s="4">
        <v>700</v>
      </c>
      <c r="K22" s="4" t="s">
        <v>21</v>
      </c>
      <c r="L22" t="s">
        <v>5</v>
      </c>
      <c r="M22" s="4">
        <v>970</v>
      </c>
      <c r="N22" t="s">
        <v>5</v>
      </c>
      <c r="O22" s="4">
        <v>1200</v>
      </c>
      <c r="P22" t="s">
        <v>5</v>
      </c>
      <c r="Q22" s="4">
        <v>17.5</v>
      </c>
      <c r="R22" t="s">
        <v>5</v>
      </c>
      <c r="S22" s="4">
        <f t="shared" si="9"/>
        <v>21.5</v>
      </c>
      <c r="T22" t="s">
        <v>9</v>
      </c>
    </row>
    <row r="23" spans="2:20" x14ac:dyDescent="0.25">
      <c r="B23" t="str">
        <f>_xlfn.CONCAT(J23:S23)</f>
        <v/>
      </c>
      <c r="J23" s="4"/>
      <c r="K23" s="4"/>
      <c r="M23" s="4"/>
      <c r="N23" s="4"/>
      <c r="P23" s="4"/>
      <c r="R23" s="4"/>
    </row>
    <row r="24" spans="2:20" x14ac:dyDescent="0.25">
      <c r="B24" t="str">
        <f>_xlfn.CONCAT(G24,H24:S24,T24)</f>
        <v>new BoxBeam("Box800",495,1300,20.5,24.5),</v>
      </c>
      <c r="G24" s="9" t="s">
        <v>23</v>
      </c>
      <c r="H24" s="4" t="s">
        <v>21</v>
      </c>
      <c r="I24" s="4" t="s">
        <v>16</v>
      </c>
      <c r="J24" s="4">
        <v>800</v>
      </c>
      <c r="K24" s="4" t="s">
        <v>21</v>
      </c>
      <c r="L24" t="s">
        <v>5</v>
      </c>
      <c r="M24" s="4">
        <v>495</v>
      </c>
      <c r="N24" t="s">
        <v>5</v>
      </c>
      <c r="O24" s="4">
        <v>1300</v>
      </c>
      <c r="P24" t="s">
        <v>5</v>
      </c>
      <c r="Q24" s="4">
        <v>20.5</v>
      </c>
      <c r="R24" t="s">
        <v>5</v>
      </c>
      <c r="S24" s="4">
        <f>Q24+4</f>
        <v>24.5</v>
      </c>
      <c r="T24" t="s">
        <v>9</v>
      </c>
    </row>
    <row r="25" spans="2:20" x14ac:dyDescent="0.25">
      <c r="B25" t="str">
        <f t="shared" ref="B25:B26" si="10">_xlfn.CONCAT(G25,H25:S25,T25)</f>
        <v>new BoxBeam("Box800",750,1300,21,25),</v>
      </c>
      <c r="G25" s="9" t="s">
        <v>23</v>
      </c>
      <c r="H25" s="4" t="s">
        <v>21</v>
      </c>
      <c r="I25" s="4" t="s">
        <v>16</v>
      </c>
      <c r="J25" s="4">
        <v>800</v>
      </c>
      <c r="K25" s="4" t="s">
        <v>21</v>
      </c>
      <c r="L25" t="s">
        <v>5</v>
      </c>
      <c r="M25" s="4">
        <v>750</v>
      </c>
      <c r="N25" t="s">
        <v>5</v>
      </c>
      <c r="O25" s="4">
        <v>1300</v>
      </c>
      <c r="P25" t="s">
        <v>5</v>
      </c>
      <c r="Q25" s="4">
        <v>21</v>
      </c>
      <c r="R25" t="s">
        <v>5</v>
      </c>
      <c r="S25" s="4">
        <f t="shared" ref="S25:S26" si="11">Q25+4</f>
        <v>25</v>
      </c>
      <c r="T25" t="s">
        <v>9</v>
      </c>
    </row>
    <row r="26" spans="2:20" x14ac:dyDescent="0.25">
      <c r="B26" t="str">
        <f t="shared" si="10"/>
        <v>new BoxBeam("Box800",970,1300,21.5,25.5),</v>
      </c>
      <c r="G26" s="9" t="s">
        <v>23</v>
      </c>
      <c r="H26" s="4" t="s">
        <v>21</v>
      </c>
      <c r="I26" s="4" t="s">
        <v>16</v>
      </c>
      <c r="J26" s="4">
        <v>800</v>
      </c>
      <c r="K26" s="4" t="s">
        <v>21</v>
      </c>
      <c r="L26" t="s">
        <v>5</v>
      </c>
      <c r="M26" s="4">
        <v>970</v>
      </c>
      <c r="N26" t="s">
        <v>5</v>
      </c>
      <c r="O26" s="4">
        <v>1300</v>
      </c>
      <c r="P26" t="s">
        <v>5</v>
      </c>
      <c r="Q26" s="4">
        <v>21.5</v>
      </c>
      <c r="R26" t="s">
        <v>5</v>
      </c>
      <c r="S26" s="4">
        <f t="shared" si="11"/>
        <v>25.5</v>
      </c>
      <c r="T26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38F-6054-4ABD-A4DF-709A1D0CA28F}">
  <dimension ref="B2:T32"/>
  <sheetViews>
    <sheetView zoomScale="115" zoomScaleNormal="115" workbookViewId="0">
      <selection activeCell="L15" sqref="L15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27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 t="shared" ref="B4:B12" si="0">_xlfn.CONCAT(G4,H4:S4,T4)</f>
        <v>new MBeam("M2",1000,720,16,18),</v>
      </c>
      <c r="G4" s="9" t="s">
        <v>28</v>
      </c>
      <c r="H4" s="4" t="s">
        <v>21</v>
      </c>
      <c r="I4" s="4" t="s">
        <v>15</v>
      </c>
      <c r="J4" s="4">
        <v>2</v>
      </c>
      <c r="K4" s="4" t="s">
        <v>21</v>
      </c>
      <c r="L4" t="s">
        <v>5</v>
      </c>
      <c r="M4" s="4">
        <v>1000</v>
      </c>
      <c r="N4" t="s">
        <v>5</v>
      </c>
      <c r="O4" s="4">
        <v>720</v>
      </c>
      <c r="P4" t="s">
        <v>5</v>
      </c>
      <c r="Q4" s="4">
        <v>16</v>
      </c>
      <c r="R4" t="s">
        <v>5</v>
      </c>
      <c r="S4" s="4">
        <v>18</v>
      </c>
      <c r="T4" t="s">
        <v>9</v>
      </c>
    </row>
    <row r="5" spans="2:20" x14ac:dyDescent="0.25">
      <c r="B5" t="str">
        <f t="shared" si="0"/>
        <v>new MBeam("M3",1000,800,17.5,19.5),</v>
      </c>
      <c r="G5" s="9" t="s">
        <v>28</v>
      </c>
      <c r="H5" s="4" t="s">
        <v>21</v>
      </c>
      <c r="I5" s="4" t="s">
        <v>15</v>
      </c>
      <c r="J5" s="4">
        <v>3</v>
      </c>
      <c r="K5" s="4" t="s">
        <v>21</v>
      </c>
      <c r="L5" t="s">
        <v>5</v>
      </c>
      <c r="M5" s="4">
        <v>1000</v>
      </c>
      <c r="N5" t="s">
        <v>5</v>
      </c>
      <c r="O5" s="4">
        <v>800</v>
      </c>
      <c r="P5" t="s">
        <v>5</v>
      </c>
      <c r="Q5" s="4">
        <v>17.5</v>
      </c>
      <c r="R5" t="s">
        <v>5</v>
      </c>
      <c r="S5" s="4">
        <v>19.5</v>
      </c>
      <c r="T5" t="s">
        <v>9</v>
      </c>
    </row>
    <row r="6" spans="2:20" x14ac:dyDescent="0.25">
      <c r="B6" t="str">
        <f t="shared" si="0"/>
        <v>new MBeam("M4",1000,880,19,21),</v>
      </c>
      <c r="G6" s="9" t="s">
        <v>28</v>
      </c>
      <c r="H6" s="4" t="s">
        <v>21</v>
      </c>
      <c r="I6" s="4" t="s">
        <v>15</v>
      </c>
      <c r="J6" s="4">
        <v>4</v>
      </c>
      <c r="K6" s="4" t="s">
        <v>21</v>
      </c>
      <c r="L6" t="s">
        <v>5</v>
      </c>
      <c r="M6" s="4">
        <v>1000</v>
      </c>
      <c r="N6" t="s">
        <v>5</v>
      </c>
      <c r="O6" s="4">
        <v>880</v>
      </c>
      <c r="P6" t="s">
        <v>5</v>
      </c>
      <c r="Q6" s="4">
        <v>19</v>
      </c>
      <c r="R6" t="s">
        <v>5</v>
      </c>
      <c r="S6" s="4">
        <v>21</v>
      </c>
      <c r="T6" t="s">
        <v>9</v>
      </c>
    </row>
    <row r="7" spans="2:20" x14ac:dyDescent="0.25">
      <c r="B7" t="str">
        <f t="shared" si="0"/>
        <v>new MBeam("M5",1000,960,20.5,22.5),</v>
      </c>
      <c r="G7" s="9" t="s">
        <v>28</v>
      </c>
      <c r="H7" s="4" t="s">
        <v>21</v>
      </c>
      <c r="I7" s="4" t="s">
        <v>15</v>
      </c>
      <c r="J7" s="4">
        <v>5</v>
      </c>
      <c r="K7" s="4" t="s">
        <v>21</v>
      </c>
      <c r="L7" t="s">
        <v>5</v>
      </c>
      <c r="M7" s="4">
        <v>1000</v>
      </c>
      <c r="N7" t="s">
        <v>5</v>
      </c>
      <c r="O7" s="4">
        <v>960</v>
      </c>
      <c r="P7" t="s">
        <v>5</v>
      </c>
      <c r="Q7" s="4">
        <v>20.5</v>
      </c>
      <c r="R7" t="s">
        <v>5</v>
      </c>
      <c r="S7" s="4">
        <v>22.5</v>
      </c>
      <c r="T7" t="s">
        <v>9</v>
      </c>
    </row>
    <row r="8" spans="2:20" x14ac:dyDescent="0.25">
      <c r="B8" t="str">
        <f t="shared" si="0"/>
        <v>new MBeam("M6",1000,1040,22,24),</v>
      </c>
      <c r="G8" s="9" t="s">
        <v>28</v>
      </c>
      <c r="H8" s="4" t="s">
        <v>21</v>
      </c>
      <c r="I8" s="4" t="s">
        <v>15</v>
      </c>
      <c r="J8" s="4">
        <v>6</v>
      </c>
      <c r="K8" s="4" t="s">
        <v>21</v>
      </c>
      <c r="L8" t="s">
        <v>5</v>
      </c>
      <c r="M8" s="4">
        <v>1000</v>
      </c>
      <c r="N8" t="s">
        <v>5</v>
      </c>
      <c r="O8" s="4">
        <v>1040</v>
      </c>
      <c r="P8" t="s">
        <v>5</v>
      </c>
      <c r="Q8" s="4">
        <v>22</v>
      </c>
      <c r="R8" t="s">
        <v>5</v>
      </c>
      <c r="S8" s="4">
        <v>24</v>
      </c>
      <c r="T8" t="s">
        <v>9</v>
      </c>
    </row>
    <row r="9" spans="2:20" s="10" customFormat="1" x14ac:dyDescent="0.25">
      <c r="B9" t="str">
        <f t="shared" si="0"/>
        <v>new MBeam("M7",1000,1120,23.5,26),</v>
      </c>
      <c r="C9"/>
      <c r="D9"/>
      <c r="E9"/>
      <c r="F9"/>
      <c r="G9" s="9" t="s">
        <v>28</v>
      </c>
      <c r="H9" s="4" t="s">
        <v>21</v>
      </c>
      <c r="I9" s="4" t="s">
        <v>15</v>
      </c>
      <c r="J9" s="4">
        <v>7</v>
      </c>
      <c r="K9" s="4" t="s">
        <v>21</v>
      </c>
      <c r="L9" t="s">
        <v>5</v>
      </c>
      <c r="M9" s="4">
        <v>1000</v>
      </c>
      <c r="N9" t="s">
        <v>5</v>
      </c>
      <c r="O9" s="4">
        <v>1120</v>
      </c>
      <c r="P9" t="s">
        <v>5</v>
      </c>
      <c r="Q9" s="4">
        <v>23.5</v>
      </c>
      <c r="R9" t="s">
        <v>5</v>
      </c>
      <c r="S9" s="4">
        <v>26</v>
      </c>
      <c r="T9" t="s">
        <v>9</v>
      </c>
    </row>
    <row r="10" spans="2:20" x14ac:dyDescent="0.25">
      <c r="B10" t="str">
        <f t="shared" si="0"/>
        <v>new MBeam("M8",1000,1200,25.5,27.5),</v>
      </c>
      <c r="G10" s="9" t="s">
        <v>28</v>
      </c>
      <c r="H10" s="4" t="s">
        <v>21</v>
      </c>
      <c r="I10" s="4" t="s">
        <v>15</v>
      </c>
      <c r="J10" s="4">
        <v>8</v>
      </c>
      <c r="K10" s="4" t="s">
        <v>21</v>
      </c>
      <c r="L10" t="s">
        <v>5</v>
      </c>
      <c r="M10" s="4">
        <v>1000</v>
      </c>
      <c r="N10" t="s">
        <v>5</v>
      </c>
      <c r="O10" s="4">
        <v>1200</v>
      </c>
      <c r="P10" t="s">
        <v>5</v>
      </c>
      <c r="Q10" s="4">
        <v>25.5</v>
      </c>
      <c r="R10" t="s">
        <v>5</v>
      </c>
      <c r="S10" s="4">
        <v>27.5</v>
      </c>
      <c r="T10" t="s">
        <v>9</v>
      </c>
    </row>
    <row r="11" spans="2:20" x14ac:dyDescent="0.25">
      <c r="B11" t="str">
        <f t="shared" si="0"/>
        <v>new MBeam("M9",1000,1280,26.5,28.5),</v>
      </c>
      <c r="G11" s="9" t="s">
        <v>28</v>
      </c>
      <c r="H11" s="4" t="s">
        <v>21</v>
      </c>
      <c r="I11" s="4" t="s">
        <v>15</v>
      </c>
      <c r="J11" s="4">
        <v>9</v>
      </c>
      <c r="K11" s="4" t="s">
        <v>21</v>
      </c>
      <c r="L11" t="s">
        <v>5</v>
      </c>
      <c r="M11" s="4">
        <v>1000</v>
      </c>
      <c r="N11" t="s">
        <v>5</v>
      </c>
      <c r="O11" s="4">
        <v>1280</v>
      </c>
      <c r="P11" t="s">
        <v>5</v>
      </c>
      <c r="Q11" s="4">
        <v>26.5</v>
      </c>
      <c r="R11" t="s">
        <v>5</v>
      </c>
      <c r="S11" s="4">
        <v>28.5</v>
      </c>
      <c r="T11" t="s">
        <v>9</v>
      </c>
    </row>
    <row r="12" spans="2:20" x14ac:dyDescent="0.25">
      <c r="B12" t="str">
        <f t="shared" si="0"/>
        <v>new MBeam("M10",1000,1360,28,30),</v>
      </c>
      <c r="G12" s="9" t="s">
        <v>28</v>
      </c>
      <c r="H12" s="4" t="s">
        <v>21</v>
      </c>
      <c r="I12" s="4" t="s">
        <v>15</v>
      </c>
      <c r="J12" s="4">
        <v>10</v>
      </c>
      <c r="K12" s="4" t="s">
        <v>21</v>
      </c>
      <c r="L12" t="s">
        <v>5</v>
      </c>
      <c r="M12" s="4">
        <v>1000</v>
      </c>
      <c r="N12" t="s">
        <v>5</v>
      </c>
      <c r="O12" s="4">
        <v>1360</v>
      </c>
      <c r="P12" t="s">
        <v>5</v>
      </c>
      <c r="Q12" s="4">
        <v>28</v>
      </c>
      <c r="R12" t="s">
        <v>5</v>
      </c>
      <c r="S12" s="4">
        <v>30</v>
      </c>
      <c r="T12" t="s">
        <v>9</v>
      </c>
    </row>
    <row r="13" spans="2:20" x14ac:dyDescent="0.25">
      <c r="G13" s="9"/>
      <c r="H13" s="4"/>
      <c r="I13" s="4"/>
      <c r="J13" s="4"/>
      <c r="K13" s="4"/>
      <c r="M13" s="4"/>
      <c r="O13" s="4"/>
      <c r="Q13" s="4"/>
      <c r="S13" s="4"/>
    </row>
    <row r="14" spans="2:20" x14ac:dyDescent="0.25">
      <c r="G14" s="9"/>
      <c r="H14" s="4"/>
      <c r="I14" s="4"/>
      <c r="J14" s="4"/>
      <c r="K14" s="4"/>
      <c r="M14" s="4"/>
      <c r="O14" s="4"/>
      <c r="Q14" s="4"/>
      <c r="S14" s="4"/>
    </row>
    <row r="15" spans="2:20" x14ac:dyDescent="0.25">
      <c r="G15" s="9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G16" s="9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9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9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9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9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9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9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9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9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9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9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9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9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9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9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9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9"/>
      <c r="H32" s="4"/>
      <c r="I32" s="4"/>
      <c r="J32" s="4"/>
      <c r="K32" s="4"/>
      <c r="M32" s="4"/>
      <c r="O32" s="4"/>
      <c r="Q32" s="4"/>
      <c r="S32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F701-7A82-4E2C-B12E-A82558B0FF0D}">
  <dimension ref="B2:T25"/>
  <sheetViews>
    <sheetView zoomScale="115" zoomScaleNormal="115" workbookViewId="0">
      <selection activeCell="K14" sqref="K14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30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MYBeam("MY1",1,300,4,8.5),</v>
      </c>
      <c r="G4" s="4" t="s">
        <v>29</v>
      </c>
      <c r="H4" s="4" t="s">
        <v>21</v>
      </c>
      <c r="I4" s="4" t="s">
        <v>11</v>
      </c>
      <c r="J4" s="4">
        <v>1</v>
      </c>
      <c r="K4" s="4" t="s">
        <v>21</v>
      </c>
      <c r="L4" t="s">
        <v>5</v>
      </c>
      <c r="M4" s="4">
        <v>1</v>
      </c>
      <c r="N4" t="s">
        <v>5</v>
      </c>
      <c r="O4" s="4">
        <v>300</v>
      </c>
      <c r="P4" t="s">
        <v>5</v>
      </c>
      <c r="Q4" s="4">
        <v>4</v>
      </c>
      <c r="R4" t="s">
        <v>5</v>
      </c>
      <c r="S4" s="4">
        <v>8.5</v>
      </c>
      <c r="T4" t="s">
        <v>9</v>
      </c>
    </row>
    <row r="5" spans="2:20" x14ac:dyDescent="0.25">
      <c r="B5" t="str">
        <f t="shared" ref="B5" si="0">_xlfn.CONCAT(G5,H5:S5,T5)</f>
        <v>new MYBeam("MY1",2,300,4,10.5),</v>
      </c>
      <c r="G5" s="4" t="s">
        <v>29</v>
      </c>
      <c r="H5" s="4" t="s">
        <v>21</v>
      </c>
      <c r="I5" s="4" t="s">
        <v>11</v>
      </c>
      <c r="J5" s="4">
        <v>1</v>
      </c>
      <c r="K5" s="4" t="s">
        <v>21</v>
      </c>
      <c r="L5" t="s">
        <v>5</v>
      </c>
      <c r="M5" s="4">
        <v>2</v>
      </c>
      <c r="N5" t="s">
        <v>5</v>
      </c>
      <c r="O5" s="4">
        <v>300</v>
      </c>
      <c r="P5" t="s">
        <v>5</v>
      </c>
      <c r="Q5" s="4">
        <v>4</v>
      </c>
      <c r="R5" t="s">
        <v>5</v>
      </c>
      <c r="S5" s="4">
        <v>10.5</v>
      </c>
      <c r="T5" t="s">
        <v>9</v>
      </c>
    </row>
    <row r="6" spans="2:20" x14ac:dyDescent="0.25">
      <c r="B6" t="str">
        <f>_xlfn.CONCAT(J6:S6)</f>
        <v/>
      </c>
      <c r="J6" s="4"/>
      <c r="K6" s="4"/>
      <c r="M6" s="4"/>
      <c r="N6" s="4"/>
      <c r="P6" s="4"/>
      <c r="R6" s="4"/>
    </row>
    <row r="7" spans="2:20" x14ac:dyDescent="0.25">
      <c r="B7" t="str">
        <f>_xlfn.CONCAT(G7,H7:S7,T7)</f>
        <v>new MYBeam("MY2",1,350,6,10),</v>
      </c>
      <c r="G7" s="4" t="s">
        <v>29</v>
      </c>
      <c r="H7" s="4" t="s">
        <v>21</v>
      </c>
      <c r="I7" s="4" t="s">
        <v>11</v>
      </c>
      <c r="J7" s="4">
        <v>2</v>
      </c>
      <c r="K7" s="4" t="s">
        <v>21</v>
      </c>
      <c r="L7" t="s">
        <v>5</v>
      </c>
      <c r="M7" s="4">
        <v>1</v>
      </c>
      <c r="N7" t="s">
        <v>5</v>
      </c>
      <c r="O7" s="4">
        <v>350</v>
      </c>
      <c r="P7" t="s">
        <v>5</v>
      </c>
      <c r="Q7" s="4">
        <v>6</v>
      </c>
      <c r="R7" t="s">
        <v>5</v>
      </c>
      <c r="S7" s="4">
        <v>10</v>
      </c>
      <c r="T7" t="s">
        <v>9</v>
      </c>
    </row>
    <row r="8" spans="2:20" x14ac:dyDescent="0.25">
      <c r="B8" t="str">
        <f t="shared" ref="B8" si="1">_xlfn.CONCAT(G8,H8:S8,T8)</f>
        <v>new MYBeam("MY2",2,350,7.5,11.5),</v>
      </c>
      <c r="G8" s="4" t="s">
        <v>29</v>
      </c>
      <c r="H8" s="4" t="s">
        <v>21</v>
      </c>
      <c r="I8" s="4" t="s">
        <v>11</v>
      </c>
      <c r="J8" s="4">
        <v>2</v>
      </c>
      <c r="K8" s="4" t="s">
        <v>21</v>
      </c>
      <c r="L8" t="s">
        <v>5</v>
      </c>
      <c r="M8" s="4">
        <v>2</v>
      </c>
      <c r="N8" t="s">
        <v>5</v>
      </c>
      <c r="O8" s="4">
        <v>350</v>
      </c>
      <c r="P8" t="s">
        <v>5</v>
      </c>
      <c r="Q8" s="4">
        <v>7.5</v>
      </c>
      <c r="R8" t="s">
        <v>5</v>
      </c>
      <c r="S8" s="4">
        <v>11.5</v>
      </c>
      <c r="T8" t="s">
        <v>9</v>
      </c>
    </row>
    <row r="9" spans="2:20" x14ac:dyDescent="0.25">
      <c r="B9" t="str">
        <f>_xlfn.CONCAT(J9:S9)</f>
        <v/>
      </c>
      <c r="J9" s="4"/>
      <c r="K9" s="4"/>
      <c r="M9" s="4"/>
      <c r="N9" s="4"/>
      <c r="P9" s="4"/>
      <c r="R9" s="4"/>
    </row>
    <row r="10" spans="2:20" x14ac:dyDescent="0.25">
      <c r="B10" t="str">
        <f>_xlfn.CONCAT(G10,H10:S10,T10)</f>
        <v>new MYBeam("MY3",1,400,7,11),</v>
      </c>
      <c r="G10" s="4" t="s">
        <v>29</v>
      </c>
      <c r="H10" s="4" t="s">
        <v>21</v>
      </c>
      <c r="I10" s="4" t="s">
        <v>11</v>
      </c>
      <c r="J10" s="4">
        <v>3</v>
      </c>
      <c r="K10" s="4" t="s">
        <v>21</v>
      </c>
      <c r="L10" t="s">
        <v>5</v>
      </c>
      <c r="M10" s="4">
        <v>1</v>
      </c>
      <c r="N10" t="s">
        <v>5</v>
      </c>
      <c r="O10" s="4">
        <v>400</v>
      </c>
      <c r="P10" t="s">
        <v>5</v>
      </c>
      <c r="Q10" s="4">
        <v>7</v>
      </c>
      <c r="R10" t="s">
        <v>5</v>
      </c>
      <c r="S10" s="4">
        <v>11</v>
      </c>
      <c r="T10" t="s">
        <v>9</v>
      </c>
    </row>
    <row r="11" spans="2:20" x14ac:dyDescent="0.25">
      <c r="B11" t="str">
        <f t="shared" ref="B11" si="2">_xlfn.CONCAT(G11,H11:S11,T11)</f>
        <v>new MYBeam("MY3",2,400,9,13),</v>
      </c>
      <c r="G11" s="4" t="s">
        <v>29</v>
      </c>
      <c r="H11" s="4" t="s">
        <v>21</v>
      </c>
      <c r="I11" s="4" t="s">
        <v>11</v>
      </c>
      <c r="J11" s="4">
        <v>3</v>
      </c>
      <c r="K11" s="4" t="s">
        <v>21</v>
      </c>
      <c r="L11" t="s">
        <v>5</v>
      </c>
      <c r="M11" s="4">
        <v>2</v>
      </c>
      <c r="N11" t="s">
        <v>5</v>
      </c>
      <c r="O11" s="4">
        <v>400</v>
      </c>
      <c r="P11" t="s">
        <v>5</v>
      </c>
      <c r="Q11" s="4">
        <v>9</v>
      </c>
      <c r="R11" t="s">
        <v>5</v>
      </c>
      <c r="S11" s="4">
        <v>13</v>
      </c>
      <c r="T11" t="s">
        <v>9</v>
      </c>
    </row>
    <row r="12" spans="2:20" x14ac:dyDescent="0.25">
      <c r="B12" t="str">
        <f>_xlfn.CONCAT(J12:S12)</f>
        <v/>
      </c>
      <c r="J12" s="4"/>
      <c r="K12" s="4"/>
      <c r="M12" s="4"/>
      <c r="N12" s="4"/>
      <c r="P12" s="4"/>
      <c r="R12" s="4"/>
    </row>
    <row r="13" spans="2:20" x14ac:dyDescent="0.25">
      <c r="B13" t="str">
        <f>_xlfn.CONCAT(G13,H13:S13,T13)</f>
        <v>new MYBeam("MY4",1,450,8.5,12.5),</v>
      </c>
      <c r="G13" s="4" t="s">
        <v>29</v>
      </c>
      <c r="H13" s="4" t="s">
        <v>21</v>
      </c>
      <c r="I13" s="4" t="s">
        <v>11</v>
      </c>
      <c r="J13" s="4">
        <v>4</v>
      </c>
      <c r="K13" s="4" t="s">
        <v>21</v>
      </c>
      <c r="L13" t="s">
        <v>5</v>
      </c>
      <c r="M13" s="4">
        <v>1</v>
      </c>
      <c r="N13" t="s">
        <v>5</v>
      </c>
      <c r="O13" s="4">
        <v>450</v>
      </c>
      <c r="P13" t="s">
        <v>5</v>
      </c>
      <c r="Q13" s="4">
        <v>8.5</v>
      </c>
      <c r="R13" t="s">
        <v>5</v>
      </c>
      <c r="S13" s="4">
        <v>12.5</v>
      </c>
      <c r="T13" t="s">
        <v>9</v>
      </c>
    </row>
    <row r="14" spans="2:20" x14ac:dyDescent="0.25">
      <c r="B14" t="str">
        <f t="shared" ref="B14" si="3">_xlfn.CONCAT(G14,H14:S14,T14)</f>
        <v>new MYBeam("MY4",2,450,10.5,14.5),</v>
      </c>
      <c r="G14" s="4" t="s">
        <v>29</v>
      </c>
      <c r="H14" s="4" t="s">
        <v>21</v>
      </c>
      <c r="I14" s="4" t="s">
        <v>11</v>
      </c>
      <c r="J14" s="4">
        <v>4</v>
      </c>
      <c r="K14" s="4" t="s">
        <v>21</v>
      </c>
      <c r="L14" t="s">
        <v>5</v>
      </c>
      <c r="M14" s="4">
        <v>2</v>
      </c>
      <c r="N14" t="s">
        <v>5</v>
      </c>
      <c r="O14" s="4">
        <v>450</v>
      </c>
      <c r="P14" t="s">
        <v>5</v>
      </c>
      <c r="Q14" s="4">
        <v>10.5</v>
      </c>
      <c r="R14" t="s">
        <v>5</v>
      </c>
      <c r="S14" s="4">
        <v>14.5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MYBeam("MY5",1,500,10,14),</v>
      </c>
      <c r="G16" s="4" t="s">
        <v>29</v>
      </c>
      <c r="H16" s="4" t="s">
        <v>21</v>
      </c>
      <c r="I16" s="4" t="s">
        <v>11</v>
      </c>
      <c r="J16" s="4">
        <v>5</v>
      </c>
      <c r="K16" s="4" t="s">
        <v>21</v>
      </c>
      <c r="L16" t="s">
        <v>5</v>
      </c>
      <c r="M16" s="4">
        <v>1</v>
      </c>
      <c r="N16" t="s">
        <v>5</v>
      </c>
      <c r="O16" s="4">
        <v>500</v>
      </c>
      <c r="P16" t="s">
        <v>5</v>
      </c>
      <c r="Q16" s="4">
        <v>10</v>
      </c>
      <c r="R16" t="s">
        <v>5</v>
      </c>
      <c r="S16" s="4">
        <v>14</v>
      </c>
      <c r="T16" t="s">
        <v>9</v>
      </c>
    </row>
    <row r="17" spans="2:20" x14ac:dyDescent="0.25">
      <c r="B17" t="str">
        <f t="shared" ref="B17" si="4">_xlfn.CONCAT(G17,H17:S17,T17)</f>
        <v>new MYBeam("MY5",2,500,12.5,16.5),</v>
      </c>
      <c r="G17" s="4" t="s">
        <v>29</v>
      </c>
      <c r="H17" s="4" t="s">
        <v>21</v>
      </c>
      <c r="I17" s="4" t="s">
        <v>11</v>
      </c>
      <c r="J17" s="4">
        <v>5</v>
      </c>
      <c r="K17" s="4" t="s">
        <v>21</v>
      </c>
      <c r="L17" t="s">
        <v>5</v>
      </c>
      <c r="M17" s="4">
        <v>2</v>
      </c>
      <c r="N17" t="s">
        <v>5</v>
      </c>
      <c r="O17" s="4">
        <v>500</v>
      </c>
      <c r="P17" t="s">
        <v>5</v>
      </c>
      <c r="Q17" s="4">
        <v>12.5</v>
      </c>
      <c r="R17" t="s">
        <v>5</v>
      </c>
      <c r="S17" s="4">
        <v>16.5</v>
      </c>
      <c r="T17" t="s">
        <v>9</v>
      </c>
    </row>
    <row r="18" spans="2:20" x14ac:dyDescent="0.25">
      <c r="G18" s="4"/>
      <c r="H18" s="4"/>
      <c r="I18" s="4"/>
      <c r="J18" s="4"/>
      <c r="K18" s="4"/>
      <c r="M18" s="4"/>
      <c r="O18" s="4"/>
      <c r="Q18" s="4"/>
      <c r="S18" s="4"/>
    </row>
    <row r="19" spans="2:20" x14ac:dyDescent="0.25">
      <c r="B19" t="str">
        <f>_xlfn.CONCAT(G19,H19:S19,T19)</f>
        <v>new MYBeam("MY6",1,550,11,15),</v>
      </c>
      <c r="G19" s="4" t="s">
        <v>29</v>
      </c>
      <c r="H19" s="4" t="s">
        <v>21</v>
      </c>
      <c r="I19" s="4" t="s">
        <v>11</v>
      </c>
      <c r="J19" s="4">
        <v>6</v>
      </c>
      <c r="K19" s="4" t="s">
        <v>21</v>
      </c>
      <c r="L19" t="s">
        <v>5</v>
      </c>
      <c r="M19" s="4">
        <v>1</v>
      </c>
      <c r="N19" t="s">
        <v>5</v>
      </c>
      <c r="O19" s="4">
        <v>550</v>
      </c>
      <c r="P19" t="s">
        <v>5</v>
      </c>
      <c r="Q19" s="4">
        <v>11</v>
      </c>
      <c r="R19" t="s">
        <v>5</v>
      </c>
      <c r="S19" s="4">
        <v>15</v>
      </c>
      <c r="T19" t="s">
        <v>9</v>
      </c>
    </row>
    <row r="20" spans="2:20" x14ac:dyDescent="0.25">
      <c r="B20" t="str">
        <f t="shared" ref="B20" si="5">_xlfn.CONCAT(G20,H20:S20,T20)</f>
        <v>new MYBeam("MY6",2,550,13.5,17.5),</v>
      </c>
      <c r="G20" s="4" t="s">
        <v>29</v>
      </c>
      <c r="H20" s="4" t="s">
        <v>21</v>
      </c>
      <c r="I20" s="4" t="s">
        <v>11</v>
      </c>
      <c r="J20" s="4">
        <v>6</v>
      </c>
      <c r="K20" s="4" t="s">
        <v>21</v>
      </c>
      <c r="L20" t="s">
        <v>5</v>
      </c>
      <c r="M20" s="4">
        <v>2</v>
      </c>
      <c r="N20" t="s">
        <v>5</v>
      </c>
      <c r="O20" s="4">
        <v>550</v>
      </c>
      <c r="P20" t="s">
        <v>5</v>
      </c>
      <c r="Q20" s="4">
        <v>13.5</v>
      </c>
      <c r="R20" t="s">
        <v>5</v>
      </c>
      <c r="S20" s="4">
        <v>17.5</v>
      </c>
      <c r="T20" t="s">
        <v>9</v>
      </c>
    </row>
    <row r="21" spans="2:20" x14ac:dyDescent="0.25">
      <c r="B21" t="str">
        <f>_xlfn.CONCAT(J21:S21)</f>
        <v/>
      </c>
      <c r="J21" s="4"/>
      <c r="K21" s="4"/>
    </row>
    <row r="22" spans="2:20" x14ac:dyDescent="0.25">
      <c r="B22" t="str">
        <f>_xlfn.CONCAT(G22,H22:S22,T22)</f>
        <v>new MYBeam("MY7",1,600,12,16),</v>
      </c>
      <c r="G22" s="4" t="s">
        <v>29</v>
      </c>
      <c r="H22" s="4" t="s">
        <v>21</v>
      </c>
      <c r="I22" s="4" t="s">
        <v>11</v>
      </c>
      <c r="J22" s="4">
        <v>7</v>
      </c>
      <c r="K22" s="4" t="s">
        <v>21</v>
      </c>
      <c r="L22" t="s">
        <v>5</v>
      </c>
      <c r="M22" s="4">
        <v>1</v>
      </c>
      <c r="N22" t="s">
        <v>5</v>
      </c>
      <c r="O22" s="4">
        <v>600</v>
      </c>
      <c r="P22" t="s">
        <v>5</v>
      </c>
      <c r="Q22" s="4">
        <v>12</v>
      </c>
      <c r="R22" t="s">
        <v>5</v>
      </c>
      <c r="S22" s="4">
        <v>16</v>
      </c>
      <c r="T22" t="s">
        <v>9</v>
      </c>
    </row>
    <row r="23" spans="2:20" x14ac:dyDescent="0.25">
      <c r="B23" t="str">
        <f t="shared" ref="B23" si="6">_xlfn.CONCAT(G23,H23:S23,T23)</f>
        <v>new MYBeam("MY7",2,600,15,19),</v>
      </c>
      <c r="G23" s="4" t="s">
        <v>29</v>
      </c>
      <c r="H23" s="4" t="s">
        <v>21</v>
      </c>
      <c r="I23" s="4" t="s">
        <v>11</v>
      </c>
      <c r="J23" s="4">
        <v>7</v>
      </c>
      <c r="K23" s="4" t="s">
        <v>21</v>
      </c>
      <c r="L23" t="s">
        <v>5</v>
      </c>
      <c r="M23" s="4">
        <v>2</v>
      </c>
      <c r="N23" t="s">
        <v>5</v>
      </c>
      <c r="O23" s="4">
        <v>600</v>
      </c>
      <c r="P23" t="s">
        <v>5</v>
      </c>
      <c r="Q23" s="4">
        <v>15</v>
      </c>
      <c r="R23" t="s">
        <v>5</v>
      </c>
      <c r="S23" s="4">
        <v>19</v>
      </c>
      <c r="T23" t="s">
        <v>9</v>
      </c>
    </row>
    <row r="24" spans="2:20" x14ac:dyDescent="0.25">
      <c r="G24" s="4"/>
      <c r="H24" s="4"/>
      <c r="I24" s="4"/>
      <c r="J24" s="4"/>
      <c r="K24" s="4"/>
      <c r="M24" s="4"/>
      <c r="O24" s="4"/>
      <c r="Q24" s="4"/>
      <c r="S24" s="4"/>
    </row>
    <row r="25" spans="2:20" x14ac:dyDescent="0.25">
      <c r="B25" t="str">
        <f>_xlfn.CONCAT(J25:S25)</f>
        <v/>
      </c>
      <c r="J25" s="4"/>
      <c r="K2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55756-6AA4-44EE-8BBA-43EB0BCA3833}">
  <dimension ref="B2:T33"/>
  <sheetViews>
    <sheetView zoomScaleNormal="100" workbookViewId="0">
      <selection activeCell="E11" sqref="E11:E15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26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TBeam("T1",495,380,5,9),</v>
      </c>
      <c r="G4" s="9" t="s">
        <v>24</v>
      </c>
      <c r="H4" s="4" t="s">
        <v>21</v>
      </c>
      <c r="I4" s="4" t="s">
        <v>13</v>
      </c>
      <c r="J4" s="4">
        <v>1</v>
      </c>
      <c r="K4" s="4" t="s">
        <v>21</v>
      </c>
      <c r="L4" t="s">
        <v>5</v>
      </c>
      <c r="M4" s="4">
        <v>495</v>
      </c>
      <c r="N4" t="s">
        <v>5</v>
      </c>
      <c r="O4" s="4">
        <v>380</v>
      </c>
      <c r="P4" t="s">
        <v>5</v>
      </c>
      <c r="Q4" s="4">
        <v>5</v>
      </c>
      <c r="R4" t="s">
        <v>5</v>
      </c>
      <c r="S4" s="4">
        <v>9</v>
      </c>
      <c r="T4" t="s">
        <v>9</v>
      </c>
    </row>
    <row r="5" spans="2:20" x14ac:dyDescent="0.25">
      <c r="B5" t="str">
        <f t="shared" ref="B5:B13" si="0">_xlfn.CONCAT(G5,H5:S5,T5)</f>
        <v>new TBeam("T2",495,420,7.5,9.5),</v>
      </c>
      <c r="G5" s="9" t="s">
        <v>24</v>
      </c>
      <c r="H5" s="4" t="s">
        <v>21</v>
      </c>
      <c r="I5" s="4" t="s">
        <v>13</v>
      </c>
      <c r="J5" s="4">
        <v>2</v>
      </c>
      <c r="K5" s="4" t="s">
        <v>21</v>
      </c>
      <c r="L5" t="s">
        <v>5</v>
      </c>
      <c r="M5" s="4">
        <v>495</v>
      </c>
      <c r="N5" t="s">
        <v>5</v>
      </c>
      <c r="O5" s="4">
        <v>420</v>
      </c>
      <c r="P5" t="s">
        <v>5</v>
      </c>
      <c r="Q5" s="4">
        <v>7.5</v>
      </c>
      <c r="R5" t="s">
        <v>5</v>
      </c>
      <c r="S5" s="4">
        <v>9.5</v>
      </c>
      <c r="T5" t="s">
        <v>9</v>
      </c>
    </row>
    <row r="6" spans="2:20" x14ac:dyDescent="0.25">
      <c r="B6" t="str">
        <f t="shared" si="0"/>
        <v>new TBeam("T3",495,535,9,11),</v>
      </c>
      <c r="G6" s="9" t="s">
        <v>24</v>
      </c>
      <c r="H6" s="4" t="s">
        <v>21</v>
      </c>
      <c r="I6" s="4" t="s">
        <v>13</v>
      </c>
      <c r="J6" s="4">
        <v>3</v>
      </c>
      <c r="K6" s="4" t="s">
        <v>21</v>
      </c>
      <c r="L6" t="s">
        <v>5</v>
      </c>
      <c r="M6" s="4">
        <v>495</v>
      </c>
      <c r="N6" t="s">
        <v>5</v>
      </c>
      <c r="O6" s="4">
        <v>535</v>
      </c>
      <c r="P6" t="s">
        <v>5</v>
      </c>
      <c r="Q6" s="4">
        <v>9</v>
      </c>
      <c r="R6" t="s">
        <v>5</v>
      </c>
      <c r="S6" s="4">
        <v>11</v>
      </c>
      <c r="T6" t="s">
        <v>9</v>
      </c>
    </row>
    <row r="7" spans="2:20" x14ac:dyDescent="0.25">
      <c r="B7" t="str">
        <f t="shared" si="0"/>
        <v>new TBeam("T4",495,575,10,12),</v>
      </c>
      <c r="G7" s="9" t="s">
        <v>24</v>
      </c>
      <c r="H7" s="4" t="s">
        <v>21</v>
      </c>
      <c r="I7" s="4" t="s">
        <v>13</v>
      </c>
      <c r="J7" s="4">
        <v>4</v>
      </c>
      <c r="K7" s="4" t="s">
        <v>21</v>
      </c>
      <c r="L7" t="s">
        <v>5</v>
      </c>
      <c r="M7" s="4">
        <v>495</v>
      </c>
      <c r="N7" t="s">
        <v>5</v>
      </c>
      <c r="O7" s="4">
        <v>575</v>
      </c>
      <c r="P7" t="s">
        <v>5</v>
      </c>
      <c r="Q7" s="4">
        <v>10</v>
      </c>
      <c r="R7" t="s">
        <v>5</v>
      </c>
      <c r="S7" s="4">
        <v>12</v>
      </c>
      <c r="T7" t="s">
        <v>9</v>
      </c>
    </row>
    <row r="8" spans="2:20" x14ac:dyDescent="0.25">
      <c r="B8" t="str">
        <f t="shared" si="0"/>
        <v>new TBeam("T5",495,615,11,12.5),</v>
      </c>
      <c r="G8" s="9" t="s">
        <v>24</v>
      </c>
      <c r="H8" s="4" t="s">
        <v>21</v>
      </c>
      <c r="I8" s="4" t="s">
        <v>13</v>
      </c>
      <c r="J8" s="4">
        <v>5</v>
      </c>
      <c r="K8" s="4" t="s">
        <v>21</v>
      </c>
      <c r="L8" t="s">
        <v>5</v>
      </c>
      <c r="M8" s="4">
        <v>495</v>
      </c>
      <c r="N8" t="s">
        <v>5</v>
      </c>
      <c r="O8" s="4">
        <v>615</v>
      </c>
      <c r="P8" t="s">
        <v>5</v>
      </c>
      <c r="Q8" s="4">
        <v>11</v>
      </c>
      <c r="R8" t="s">
        <v>5</v>
      </c>
      <c r="S8" s="4">
        <v>12.5</v>
      </c>
      <c r="T8" t="s">
        <v>9</v>
      </c>
    </row>
    <row r="9" spans="2:20" x14ac:dyDescent="0.25">
      <c r="B9" t="str">
        <f t="shared" si="0"/>
        <v>new TBeam("T6",495,655,11,13),</v>
      </c>
      <c r="G9" s="9" t="s">
        <v>24</v>
      </c>
      <c r="H9" s="4" t="s">
        <v>21</v>
      </c>
      <c r="I9" s="4" t="s">
        <v>13</v>
      </c>
      <c r="J9" s="4">
        <v>6</v>
      </c>
      <c r="K9" s="4" t="s">
        <v>21</v>
      </c>
      <c r="L9" t="s">
        <v>5</v>
      </c>
      <c r="M9" s="4">
        <v>495</v>
      </c>
      <c r="N9" t="s">
        <v>5</v>
      </c>
      <c r="O9" s="4">
        <v>655</v>
      </c>
      <c r="P9" t="s">
        <v>5</v>
      </c>
      <c r="Q9" s="4">
        <v>11</v>
      </c>
      <c r="R9" t="s">
        <v>5</v>
      </c>
      <c r="S9" s="4">
        <v>13</v>
      </c>
      <c r="T9" t="s">
        <v>9</v>
      </c>
    </row>
    <row r="10" spans="2:20" s="10" customFormat="1" x14ac:dyDescent="0.25">
      <c r="B10" t="str">
        <f t="shared" si="0"/>
        <v>new TBeam("T7",495,695,12,14.5),</v>
      </c>
      <c r="C10"/>
      <c r="D10"/>
      <c r="E10"/>
      <c r="F10"/>
      <c r="G10" s="9" t="s">
        <v>24</v>
      </c>
      <c r="H10" s="4" t="s">
        <v>21</v>
      </c>
      <c r="I10" s="4" t="s">
        <v>13</v>
      </c>
      <c r="J10" s="4">
        <v>7</v>
      </c>
      <c r="K10" s="4" t="s">
        <v>21</v>
      </c>
      <c r="L10" t="s">
        <v>5</v>
      </c>
      <c r="M10" s="4">
        <v>495</v>
      </c>
      <c r="N10" t="s">
        <v>5</v>
      </c>
      <c r="O10" s="4">
        <v>695</v>
      </c>
      <c r="P10" t="s">
        <v>5</v>
      </c>
      <c r="Q10" s="4">
        <v>12</v>
      </c>
      <c r="R10" t="s">
        <v>5</v>
      </c>
      <c r="S10" s="4">
        <v>14.5</v>
      </c>
      <c r="T10" t="s">
        <v>9</v>
      </c>
    </row>
    <row r="11" spans="2:20" x14ac:dyDescent="0.25">
      <c r="B11" t="str">
        <f t="shared" si="0"/>
        <v>new TBeam("T8",495,735,12.5,15.5),</v>
      </c>
      <c r="G11" s="9" t="s">
        <v>24</v>
      </c>
      <c r="H11" s="4" t="s">
        <v>21</v>
      </c>
      <c r="I11" s="4" t="s">
        <v>13</v>
      </c>
      <c r="J11" s="4">
        <v>8</v>
      </c>
      <c r="K11" s="4" t="s">
        <v>21</v>
      </c>
      <c r="L11" t="s">
        <v>5</v>
      </c>
      <c r="M11" s="4">
        <v>495</v>
      </c>
      <c r="N11" t="s">
        <v>5</v>
      </c>
      <c r="O11" s="4">
        <v>735</v>
      </c>
      <c r="P11" t="s">
        <v>5</v>
      </c>
      <c r="Q11" s="4">
        <v>12.5</v>
      </c>
      <c r="R11" t="s">
        <v>5</v>
      </c>
      <c r="S11" s="4">
        <v>15.5</v>
      </c>
      <c r="T11" t="s">
        <v>9</v>
      </c>
    </row>
    <row r="12" spans="2:20" x14ac:dyDescent="0.25">
      <c r="B12" t="str">
        <f t="shared" si="0"/>
        <v>new TBeam("T9",495,775,13,16),</v>
      </c>
      <c r="G12" s="9" t="s">
        <v>24</v>
      </c>
      <c r="H12" s="4" t="s">
        <v>21</v>
      </c>
      <c r="I12" s="4" t="s">
        <v>13</v>
      </c>
      <c r="J12" s="4">
        <v>9</v>
      </c>
      <c r="K12" s="4" t="s">
        <v>21</v>
      </c>
      <c r="L12" t="s">
        <v>5</v>
      </c>
      <c r="M12" s="4">
        <v>495</v>
      </c>
      <c r="N12" t="s">
        <v>5</v>
      </c>
      <c r="O12" s="4">
        <v>775</v>
      </c>
      <c r="P12" t="s">
        <v>5</v>
      </c>
      <c r="Q12" s="4">
        <v>13</v>
      </c>
      <c r="R12" t="s">
        <v>5</v>
      </c>
      <c r="S12" s="4">
        <v>16</v>
      </c>
      <c r="T12" t="s">
        <v>9</v>
      </c>
    </row>
    <row r="13" spans="2:20" x14ac:dyDescent="0.25">
      <c r="B13" t="str">
        <f t="shared" si="0"/>
        <v>new TBeam("T10",495,815,14,17),</v>
      </c>
      <c r="G13" s="9" t="s">
        <v>24</v>
      </c>
      <c r="H13" s="4" t="s">
        <v>21</v>
      </c>
      <c r="I13" s="4" t="s">
        <v>13</v>
      </c>
      <c r="J13" s="4">
        <v>10</v>
      </c>
      <c r="K13" s="4" t="s">
        <v>21</v>
      </c>
      <c r="L13" t="s">
        <v>5</v>
      </c>
      <c r="M13" s="4">
        <v>495</v>
      </c>
      <c r="N13" t="s">
        <v>5</v>
      </c>
      <c r="O13" s="4">
        <v>815</v>
      </c>
      <c r="P13" t="s">
        <v>5</v>
      </c>
      <c r="Q13" s="4">
        <v>14</v>
      </c>
      <c r="R13" t="s">
        <v>5</v>
      </c>
      <c r="S13" s="4">
        <v>17</v>
      </c>
      <c r="T13" t="s">
        <v>9</v>
      </c>
    </row>
    <row r="14" spans="2:20" x14ac:dyDescent="0.25">
      <c r="G14" s="9"/>
      <c r="H14" s="4"/>
      <c r="I14" s="4"/>
      <c r="J14" s="4"/>
      <c r="K14" s="4"/>
      <c r="M14" s="4"/>
      <c r="O14" s="4"/>
      <c r="Q14" s="4"/>
      <c r="S14" s="4"/>
    </row>
    <row r="15" spans="2:20" x14ac:dyDescent="0.25">
      <c r="G15" s="9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G16" s="9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9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9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9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9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9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9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9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9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9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9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9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9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9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9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9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9"/>
      <c r="H32" s="4"/>
      <c r="I32" s="4"/>
      <c r="J32" s="4"/>
      <c r="K32" s="4"/>
      <c r="M32" s="4"/>
      <c r="O32" s="4"/>
      <c r="Q32" s="4"/>
      <c r="S32" s="4"/>
    </row>
    <row r="33" spans="7:19" x14ac:dyDescent="0.25">
      <c r="G33" s="9"/>
      <c r="H33" s="4"/>
      <c r="I33" s="4"/>
      <c r="J33" s="4"/>
      <c r="K33" s="4"/>
      <c r="M33" s="4"/>
      <c r="O33" s="4"/>
      <c r="Q33" s="4"/>
      <c r="S33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7A91C-3CAD-4683-B8D7-81D6DA461D24}">
  <dimension ref="B2:T33"/>
  <sheetViews>
    <sheetView zoomScaleNormal="100" workbookViewId="0">
      <selection activeCell="O18" sqref="O18:O21"/>
    </sheetView>
  </sheetViews>
  <sheetFormatPr defaultRowHeight="15" x14ac:dyDescent="0.25"/>
  <cols>
    <col min="7" max="7" width="12.7109375" customWidth="1"/>
    <col min="8" max="9" width="12" customWidth="1"/>
  </cols>
  <sheetData>
    <row r="2" spans="2:20" x14ac:dyDescent="0.25">
      <c r="B2" s="1" t="s">
        <v>26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TYBeam("TY1",765,400,4.5,11),</v>
      </c>
      <c r="G4" s="9" t="s">
        <v>31</v>
      </c>
      <c r="H4" s="4" t="s">
        <v>21</v>
      </c>
      <c r="I4" s="4" t="s">
        <v>14</v>
      </c>
      <c r="J4" s="4">
        <v>1</v>
      </c>
      <c r="K4" s="4" t="s">
        <v>21</v>
      </c>
      <c r="L4" t="s">
        <v>5</v>
      </c>
      <c r="M4" s="4">
        <v>765</v>
      </c>
      <c r="N4" t="s">
        <v>5</v>
      </c>
      <c r="O4" s="4">
        <v>400</v>
      </c>
      <c r="P4" t="s">
        <v>5</v>
      </c>
      <c r="Q4" s="4">
        <v>4.5</v>
      </c>
      <c r="R4" t="s">
        <v>5</v>
      </c>
      <c r="S4" s="4">
        <v>11</v>
      </c>
      <c r="T4" t="s">
        <v>9</v>
      </c>
    </row>
    <row r="5" spans="2:20" x14ac:dyDescent="0.25">
      <c r="B5" t="str">
        <f t="shared" ref="B5:B14" si="0">_xlfn.CONCAT(G5,H5:S5,T5)</f>
        <v>new TYBeam("TY2",765,450,9.5,12.5),</v>
      </c>
      <c r="G5" s="9" t="s">
        <v>31</v>
      </c>
      <c r="H5" s="4" t="s">
        <v>21</v>
      </c>
      <c r="I5" s="4" t="s">
        <v>14</v>
      </c>
      <c r="J5" s="4">
        <v>2</v>
      </c>
      <c r="K5" s="4" t="s">
        <v>21</v>
      </c>
      <c r="L5" t="s">
        <v>5</v>
      </c>
      <c r="M5" s="4">
        <v>765</v>
      </c>
      <c r="N5" t="s">
        <v>5</v>
      </c>
      <c r="O5" s="4">
        <v>450</v>
      </c>
      <c r="P5" t="s">
        <v>5</v>
      </c>
      <c r="Q5" s="4">
        <v>9.5</v>
      </c>
      <c r="R5" t="s">
        <v>5</v>
      </c>
      <c r="S5" s="4">
        <v>12.5</v>
      </c>
      <c r="T5" t="s">
        <v>9</v>
      </c>
    </row>
    <row r="6" spans="2:20" x14ac:dyDescent="0.25">
      <c r="B6" t="str">
        <f t="shared" si="0"/>
        <v>new TYBeam("TY3",765,500,10.5,13.5),</v>
      </c>
      <c r="G6" s="9" t="s">
        <v>31</v>
      </c>
      <c r="H6" s="4" t="s">
        <v>21</v>
      </c>
      <c r="I6" s="4" t="s">
        <v>14</v>
      </c>
      <c r="J6" s="4">
        <v>3</v>
      </c>
      <c r="K6" s="4" t="s">
        <v>21</v>
      </c>
      <c r="L6" t="s">
        <v>5</v>
      </c>
      <c r="M6" s="4">
        <v>765</v>
      </c>
      <c r="N6" t="s">
        <v>5</v>
      </c>
      <c r="O6" s="4">
        <v>500</v>
      </c>
      <c r="P6" t="s">
        <v>5</v>
      </c>
      <c r="Q6" s="4">
        <v>10.5</v>
      </c>
      <c r="R6" t="s">
        <v>5</v>
      </c>
      <c r="S6" s="4">
        <v>13.5</v>
      </c>
      <c r="T6" t="s">
        <v>9</v>
      </c>
    </row>
    <row r="7" spans="2:20" x14ac:dyDescent="0.25">
      <c r="B7" t="str">
        <f t="shared" si="0"/>
        <v>new TYBeam("TY4",765,550,11.5,14.5),</v>
      </c>
      <c r="G7" s="9" t="s">
        <v>31</v>
      </c>
      <c r="H7" s="4" t="s">
        <v>21</v>
      </c>
      <c r="I7" s="4" t="s">
        <v>14</v>
      </c>
      <c r="J7" s="4">
        <v>4</v>
      </c>
      <c r="K7" s="4" t="s">
        <v>21</v>
      </c>
      <c r="L7" t="s">
        <v>5</v>
      </c>
      <c r="M7" s="4">
        <v>765</v>
      </c>
      <c r="N7" t="s">
        <v>5</v>
      </c>
      <c r="O7" s="4">
        <v>550</v>
      </c>
      <c r="P7" t="s">
        <v>5</v>
      </c>
      <c r="Q7" s="4">
        <v>11.5</v>
      </c>
      <c r="R7" t="s">
        <v>5</v>
      </c>
      <c r="S7" s="4">
        <v>14.5</v>
      </c>
      <c r="T7" t="s">
        <v>9</v>
      </c>
    </row>
    <row r="8" spans="2:20" x14ac:dyDescent="0.25">
      <c r="B8" t="str">
        <f t="shared" si="0"/>
        <v>new TYBeam("TY5",765,600,13,16),</v>
      </c>
      <c r="G8" s="9" t="s">
        <v>31</v>
      </c>
      <c r="H8" s="4" t="s">
        <v>21</v>
      </c>
      <c r="I8" s="4" t="s">
        <v>14</v>
      </c>
      <c r="J8" s="4">
        <v>5</v>
      </c>
      <c r="K8" s="4" t="s">
        <v>21</v>
      </c>
      <c r="L8" t="s">
        <v>5</v>
      </c>
      <c r="M8" s="4">
        <v>765</v>
      </c>
      <c r="N8" t="s">
        <v>5</v>
      </c>
      <c r="O8" s="4">
        <v>600</v>
      </c>
      <c r="P8" t="s">
        <v>5</v>
      </c>
      <c r="Q8" s="4">
        <v>13</v>
      </c>
      <c r="R8" t="s">
        <v>5</v>
      </c>
      <c r="S8" s="4">
        <v>16</v>
      </c>
      <c r="T8" t="s">
        <v>9</v>
      </c>
    </row>
    <row r="9" spans="2:20" x14ac:dyDescent="0.25">
      <c r="B9" t="str">
        <f t="shared" si="0"/>
        <v>new TYBeam("TY6",765,650,14,17),</v>
      </c>
      <c r="G9" s="9" t="s">
        <v>31</v>
      </c>
      <c r="H9" s="4" t="s">
        <v>21</v>
      </c>
      <c r="I9" s="4" t="s">
        <v>14</v>
      </c>
      <c r="J9" s="4">
        <v>6</v>
      </c>
      <c r="K9" s="4" t="s">
        <v>21</v>
      </c>
      <c r="L9" t="s">
        <v>5</v>
      </c>
      <c r="M9" s="4">
        <v>765</v>
      </c>
      <c r="N9" t="s">
        <v>5</v>
      </c>
      <c r="O9" s="4">
        <v>650</v>
      </c>
      <c r="P9" t="s">
        <v>5</v>
      </c>
      <c r="Q9" s="4">
        <v>14</v>
      </c>
      <c r="R9" t="s">
        <v>5</v>
      </c>
      <c r="S9" s="4">
        <v>17</v>
      </c>
      <c r="T9" t="s">
        <v>9</v>
      </c>
    </row>
    <row r="10" spans="2:20" s="10" customFormat="1" x14ac:dyDescent="0.25">
      <c r="B10" t="str">
        <f t="shared" si="0"/>
        <v>new TYBeam("TY7",765,700,15.5,18.5),</v>
      </c>
      <c r="C10"/>
      <c r="D10"/>
      <c r="E10"/>
      <c r="F10"/>
      <c r="G10" s="9" t="s">
        <v>31</v>
      </c>
      <c r="H10" s="4" t="s">
        <v>21</v>
      </c>
      <c r="I10" s="4" t="s">
        <v>14</v>
      </c>
      <c r="J10" s="4">
        <v>7</v>
      </c>
      <c r="K10" s="4" t="s">
        <v>21</v>
      </c>
      <c r="L10" t="s">
        <v>5</v>
      </c>
      <c r="M10" s="4">
        <v>765</v>
      </c>
      <c r="N10" t="s">
        <v>5</v>
      </c>
      <c r="O10" s="4">
        <v>700</v>
      </c>
      <c r="P10" t="s">
        <v>5</v>
      </c>
      <c r="Q10" s="4">
        <v>15.5</v>
      </c>
      <c r="R10" t="s">
        <v>5</v>
      </c>
      <c r="S10" s="4">
        <v>18.5</v>
      </c>
      <c r="T10" t="s">
        <v>9</v>
      </c>
    </row>
    <row r="11" spans="2:20" x14ac:dyDescent="0.25">
      <c r="B11" t="str">
        <f t="shared" si="0"/>
        <v>new TYBeam("TY8",765,750,16.5,19.5),</v>
      </c>
      <c r="G11" s="9" t="s">
        <v>31</v>
      </c>
      <c r="H11" s="4" t="s">
        <v>21</v>
      </c>
      <c r="I11" s="4" t="s">
        <v>14</v>
      </c>
      <c r="J11" s="4">
        <v>8</v>
      </c>
      <c r="K11" s="4" t="s">
        <v>21</v>
      </c>
      <c r="L11" t="s">
        <v>5</v>
      </c>
      <c r="M11" s="4">
        <v>765</v>
      </c>
      <c r="N11" t="s">
        <v>5</v>
      </c>
      <c r="O11" s="4">
        <v>750</v>
      </c>
      <c r="P11" t="s">
        <v>5</v>
      </c>
      <c r="Q11" s="4">
        <v>16.5</v>
      </c>
      <c r="R11" t="s">
        <v>5</v>
      </c>
      <c r="S11" s="4">
        <v>19.5</v>
      </c>
      <c r="T11" t="s">
        <v>9</v>
      </c>
    </row>
    <row r="12" spans="2:20" x14ac:dyDescent="0.25">
      <c r="B12" t="str">
        <f t="shared" si="0"/>
        <v>new TYBeam("TY9",765,800,17.5,20.5),</v>
      </c>
      <c r="G12" s="9" t="s">
        <v>31</v>
      </c>
      <c r="H12" s="4" t="s">
        <v>21</v>
      </c>
      <c r="I12" s="4" t="s">
        <v>14</v>
      </c>
      <c r="J12" s="4">
        <v>9</v>
      </c>
      <c r="K12" s="4" t="s">
        <v>21</v>
      </c>
      <c r="L12" t="s">
        <v>5</v>
      </c>
      <c r="M12" s="4">
        <v>765</v>
      </c>
      <c r="N12" t="s">
        <v>5</v>
      </c>
      <c r="O12" s="4">
        <v>800</v>
      </c>
      <c r="P12" t="s">
        <v>5</v>
      </c>
      <c r="Q12" s="4">
        <v>17.5</v>
      </c>
      <c r="R12" t="s">
        <v>5</v>
      </c>
      <c r="S12" s="4">
        <v>20.5</v>
      </c>
      <c r="T12" t="s">
        <v>9</v>
      </c>
    </row>
    <row r="13" spans="2:20" x14ac:dyDescent="0.25">
      <c r="B13" t="str">
        <f t="shared" si="0"/>
        <v>new TYBeam("TY10",765,850,18.5,21.5),</v>
      </c>
      <c r="G13" s="9" t="s">
        <v>31</v>
      </c>
      <c r="H13" s="4" t="s">
        <v>21</v>
      </c>
      <c r="I13" s="4" t="s">
        <v>14</v>
      </c>
      <c r="J13" s="4">
        <v>10</v>
      </c>
      <c r="K13" s="4" t="s">
        <v>21</v>
      </c>
      <c r="L13" t="s">
        <v>5</v>
      </c>
      <c r="M13" s="4">
        <v>765</v>
      </c>
      <c r="N13" t="s">
        <v>5</v>
      </c>
      <c r="O13" s="4">
        <v>850</v>
      </c>
      <c r="P13" t="s">
        <v>5</v>
      </c>
      <c r="Q13" s="4">
        <v>18.5</v>
      </c>
      <c r="R13" t="s">
        <v>5</v>
      </c>
      <c r="S13" s="4">
        <v>21.5</v>
      </c>
      <c r="T13" t="s">
        <v>9</v>
      </c>
    </row>
    <row r="14" spans="2:20" x14ac:dyDescent="0.25">
      <c r="B14" t="str">
        <f t="shared" si="0"/>
        <v>new TYBeam("TY11",765,900,19.5,22.5),</v>
      </c>
      <c r="G14" s="9" t="s">
        <v>31</v>
      </c>
      <c r="H14" s="4" t="s">
        <v>21</v>
      </c>
      <c r="I14" s="4" t="s">
        <v>14</v>
      </c>
      <c r="J14" s="4">
        <v>11</v>
      </c>
      <c r="K14" s="4" t="s">
        <v>21</v>
      </c>
      <c r="L14" t="s">
        <v>5</v>
      </c>
      <c r="M14" s="4">
        <v>765</v>
      </c>
      <c r="N14" t="s">
        <v>5</v>
      </c>
      <c r="O14" s="4">
        <v>900</v>
      </c>
      <c r="P14" t="s">
        <v>5</v>
      </c>
      <c r="Q14" s="4">
        <v>19.5</v>
      </c>
      <c r="R14" t="s">
        <v>5</v>
      </c>
      <c r="S14" s="4">
        <v>22.5</v>
      </c>
      <c r="T14" t="s">
        <v>9</v>
      </c>
    </row>
    <row r="15" spans="2:20" x14ac:dyDescent="0.25">
      <c r="G15" s="9"/>
      <c r="H15" s="4"/>
      <c r="I15" s="4"/>
      <c r="J15" s="4"/>
      <c r="K15" s="4"/>
      <c r="M15" s="4"/>
      <c r="O15" s="4"/>
      <c r="Q15" s="4" t="s">
        <v>32</v>
      </c>
      <c r="S15" s="4"/>
    </row>
    <row r="16" spans="2:20" x14ac:dyDescent="0.25">
      <c r="G16" s="9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9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9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9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9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9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9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9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9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9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9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9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9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9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9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9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9"/>
      <c r="H32" s="4"/>
      <c r="I32" s="4"/>
      <c r="J32" s="4"/>
      <c r="K32" s="4"/>
      <c r="M32" s="4"/>
      <c r="O32" s="4"/>
      <c r="Q32" s="4"/>
      <c r="S32" s="4"/>
    </row>
    <row r="33" spans="7:19" x14ac:dyDescent="0.25">
      <c r="G33" s="9"/>
      <c r="H33" s="4"/>
      <c r="I33" s="4"/>
      <c r="J33" s="4"/>
      <c r="K33" s="4"/>
      <c r="M33" s="4"/>
      <c r="O33" s="4"/>
      <c r="Q33" s="4"/>
      <c r="S33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132B9-EA4E-4EF8-AFBC-DD321A2076E5}">
  <dimension ref="B2:T66"/>
  <sheetViews>
    <sheetView topLeftCell="A36" zoomScaleNormal="100" workbookViewId="0">
      <selection activeCell="O50" sqref="O50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22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WBeam("W1",3000,800,14,18),</v>
      </c>
      <c r="G4" s="9" t="s">
        <v>25</v>
      </c>
      <c r="H4" s="4" t="s">
        <v>21</v>
      </c>
      <c r="I4" s="4" t="s">
        <v>17</v>
      </c>
      <c r="J4" s="4">
        <v>1</v>
      </c>
      <c r="K4" s="4" t="s">
        <v>21</v>
      </c>
      <c r="L4" t="s">
        <v>5</v>
      </c>
      <c r="M4" s="4">
        <v>3000</v>
      </c>
      <c r="N4" t="s">
        <v>5</v>
      </c>
      <c r="O4" s="4">
        <v>800</v>
      </c>
      <c r="P4" t="s">
        <v>5</v>
      </c>
      <c r="Q4" s="4">
        <v>14</v>
      </c>
      <c r="R4" t="s">
        <v>5</v>
      </c>
      <c r="S4" s="4">
        <f>Q4+4</f>
        <v>18</v>
      </c>
      <c r="T4" t="s">
        <v>9</v>
      </c>
    </row>
    <row r="5" spans="2:20" x14ac:dyDescent="0.25">
      <c r="B5" t="str">
        <f t="shared" ref="B5:B6" si="0">_xlfn.CONCAT(G5,H5:S5,T5)</f>
        <v>new WBeam("W1",3500,800,12.5,16.5),</v>
      </c>
      <c r="G5" s="9" t="s">
        <v>25</v>
      </c>
      <c r="H5" s="4" t="s">
        <v>21</v>
      </c>
      <c r="I5" s="4" t="s">
        <v>17</v>
      </c>
      <c r="J5" s="4">
        <v>1</v>
      </c>
      <c r="K5" s="4" t="s">
        <v>21</v>
      </c>
      <c r="L5" t="s">
        <v>5</v>
      </c>
      <c r="M5" s="4">
        <v>3500</v>
      </c>
      <c r="N5" t="s">
        <v>5</v>
      </c>
      <c r="O5" s="4">
        <v>800</v>
      </c>
      <c r="P5" t="s">
        <v>5</v>
      </c>
      <c r="Q5" s="4">
        <v>12.5</v>
      </c>
      <c r="R5" t="s">
        <v>5</v>
      </c>
      <c r="S5" s="4">
        <f t="shared" ref="S5:S6" si="1">Q5+4</f>
        <v>16.5</v>
      </c>
      <c r="T5" t="s">
        <v>9</v>
      </c>
    </row>
    <row r="6" spans="2:20" x14ac:dyDescent="0.25">
      <c r="B6" t="str">
        <f t="shared" si="0"/>
        <v>new WBeam("W1",4000,800,11.5,15.5),</v>
      </c>
      <c r="G6" s="9" t="s">
        <v>25</v>
      </c>
      <c r="H6" s="4" t="s">
        <v>21</v>
      </c>
      <c r="I6" s="4" t="s">
        <v>17</v>
      </c>
      <c r="J6" s="4">
        <v>1</v>
      </c>
      <c r="K6" s="4" t="s">
        <v>21</v>
      </c>
      <c r="L6" t="s">
        <v>5</v>
      </c>
      <c r="M6" s="4">
        <v>4000</v>
      </c>
      <c r="N6" t="s">
        <v>5</v>
      </c>
      <c r="O6" s="4">
        <v>800</v>
      </c>
      <c r="P6" t="s">
        <v>5</v>
      </c>
      <c r="Q6" s="4">
        <v>11.5</v>
      </c>
      <c r="R6" t="s">
        <v>5</v>
      </c>
      <c r="S6" s="4">
        <f t="shared" si="1"/>
        <v>15.5</v>
      </c>
      <c r="T6" t="s">
        <v>9</v>
      </c>
    </row>
    <row r="7" spans="2:20" x14ac:dyDescent="0.25">
      <c r="G7" s="9"/>
      <c r="H7" s="4"/>
      <c r="I7" s="4"/>
      <c r="J7" s="4"/>
      <c r="K7" s="4"/>
      <c r="M7" s="4"/>
      <c r="O7" s="4"/>
      <c r="Q7" s="4"/>
      <c r="S7" s="4"/>
    </row>
    <row r="8" spans="2:20" x14ac:dyDescent="0.25">
      <c r="B8" t="str">
        <f>_xlfn.CONCAT(G8,H8:S8,T8)</f>
        <v>new WBeam("W3",3000,900,16,20),</v>
      </c>
      <c r="G8" s="9" t="s">
        <v>25</v>
      </c>
      <c r="H8" s="4" t="s">
        <v>21</v>
      </c>
      <c r="I8" s="4" t="s">
        <v>17</v>
      </c>
      <c r="J8" s="4">
        <v>3</v>
      </c>
      <c r="K8" s="4" t="s">
        <v>21</v>
      </c>
      <c r="L8" t="s">
        <v>5</v>
      </c>
      <c r="M8" s="4">
        <v>3000</v>
      </c>
      <c r="N8" t="s">
        <v>5</v>
      </c>
      <c r="O8" s="4">
        <f>O4+100</f>
        <v>900</v>
      </c>
      <c r="P8" t="s">
        <v>5</v>
      </c>
      <c r="Q8" s="4">
        <v>16</v>
      </c>
      <c r="R8" t="s">
        <v>5</v>
      </c>
      <c r="S8" s="4">
        <f>Q8+4</f>
        <v>20</v>
      </c>
      <c r="T8" t="s">
        <v>9</v>
      </c>
    </row>
    <row r="9" spans="2:20" x14ac:dyDescent="0.25">
      <c r="B9" t="str">
        <f t="shared" ref="B9:B10" si="2">_xlfn.CONCAT(G9,H9:S9,T9)</f>
        <v>new WBeam("W3",3500,900,14.5,18.5),</v>
      </c>
      <c r="G9" s="9" t="s">
        <v>25</v>
      </c>
      <c r="H9" s="4" t="s">
        <v>21</v>
      </c>
      <c r="I9" s="4" t="s">
        <v>17</v>
      </c>
      <c r="J9" s="4">
        <v>3</v>
      </c>
      <c r="K9" s="4" t="s">
        <v>21</v>
      </c>
      <c r="L9" t="s">
        <v>5</v>
      </c>
      <c r="M9" s="4">
        <v>3500</v>
      </c>
      <c r="N9" t="s">
        <v>5</v>
      </c>
      <c r="O9" s="4">
        <f t="shared" ref="O9:O10" si="3">O5+100</f>
        <v>900</v>
      </c>
      <c r="P9" t="s">
        <v>5</v>
      </c>
      <c r="Q9" s="4">
        <v>14.5</v>
      </c>
      <c r="R9" t="s">
        <v>5</v>
      </c>
      <c r="S9" s="4">
        <f t="shared" ref="S9:S10" si="4">Q9+4</f>
        <v>18.5</v>
      </c>
      <c r="T9" t="s">
        <v>9</v>
      </c>
    </row>
    <row r="10" spans="2:20" x14ac:dyDescent="0.25">
      <c r="B10" t="str">
        <f t="shared" si="2"/>
        <v>new WBeam("W3",4000,900,13,17),</v>
      </c>
      <c r="G10" s="9" t="s">
        <v>25</v>
      </c>
      <c r="H10" s="4" t="s">
        <v>21</v>
      </c>
      <c r="I10" s="4" t="s">
        <v>17</v>
      </c>
      <c r="J10" s="4">
        <v>3</v>
      </c>
      <c r="K10" s="4" t="s">
        <v>21</v>
      </c>
      <c r="L10" t="s">
        <v>5</v>
      </c>
      <c r="M10" s="4">
        <v>4000</v>
      </c>
      <c r="N10" t="s">
        <v>5</v>
      </c>
      <c r="O10" s="4">
        <f t="shared" si="3"/>
        <v>900</v>
      </c>
      <c r="P10" t="s">
        <v>5</v>
      </c>
      <c r="Q10" s="4">
        <v>13</v>
      </c>
      <c r="R10" t="s">
        <v>5</v>
      </c>
      <c r="S10" s="4">
        <f t="shared" si="4"/>
        <v>17</v>
      </c>
      <c r="T10" t="s">
        <v>9</v>
      </c>
    </row>
    <row r="11" spans="2:20" x14ac:dyDescent="0.25">
      <c r="G11" s="9"/>
      <c r="H11" s="4"/>
      <c r="I11" s="4"/>
      <c r="J11" s="4"/>
      <c r="K11" s="4"/>
      <c r="M11" s="4"/>
      <c r="O11" s="4"/>
      <c r="Q11" s="4"/>
      <c r="S11" s="4"/>
    </row>
    <row r="12" spans="2:20" x14ac:dyDescent="0.25">
      <c r="B12" t="str">
        <f>_xlfn.CONCAT(G12,H12:S12,T12)</f>
        <v>new WBeam("W5",3000,1000,17.5,21.5),</v>
      </c>
      <c r="G12" s="9" t="s">
        <v>25</v>
      </c>
      <c r="H12" s="4" t="s">
        <v>21</v>
      </c>
      <c r="I12" s="4" t="s">
        <v>17</v>
      </c>
      <c r="J12" s="4">
        <v>5</v>
      </c>
      <c r="K12" s="4" t="s">
        <v>21</v>
      </c>
      <c r="L12" t="s">
        <v>5</v>
      </c>
      <c r="M12" s="4">
        <v>3000</v>
      </c>
      <c r="N12" t="s">
        <v>5</v>
      </c>
      <c r="O12" s="4">
        <f>O8+100</f>
        <v>1000</v>
      </c>
      <c r="P12" t="s">
        <v>5</v>
      </c>
      <c r="Q12" s="4">
        <v>17.5</v>
      </c>
      <c r="R12" t="s">
        <v>5</v>
      </c>
      <c r="S12" s="4">
        <f>Q12+4</f>
        <v>21.5</v>
      </c>
      <c r="T12" t="s">
        <v>9</v>
      </c>
    </row>
    <row r="13" spans="2:20" s="10" customFormat="1" x14ac:dyDescent="0.25">
      <c r="B13" t="str">
        <f t="shared" ref="B13:B14" si="5">_xlfn.CONCAT(G13,H13:S13,T13)</f>
        <v>new WBeam("W5",3500,1000,16,20),</v>
      </c>
      <c r="C13"/>
      <c r="D13"/>
      <c r="E13"/>
      <c r="F13"/>
      <c r="G13" s="9" t="s">
        <v>25</v>
      </c>
      <c r="H13" s="4" t="s">
        <v>21</v>
      </c>
      <c r="I13" s="4" t="s">
        <v>17</v>
      </c>
      <c r="J13" s="4">
        <v>5</v>
      </c>
      <c r="K13" s="4" t="s">
        <v>21</v>
      </c>
      <c r="L13" t="s">
        <v>5</v>
      </c>
      <c r="M13" s="4">
        <v>3500</v>
      </c>
      <c r="N13" t="s">
        <v>5</v>
      </c>
      <c r="O13" s="4">
        <f t="shared" ref="O13:O14" si="6">O9+100</f>
        <v>1000</v>
      </c>
      <c r="P13" t="s">
        <v>5</v>
      </c>
      <c r="Q13" s="4">
        <v>16</v>
      </c>
      <c r="R13" t="s">
        <v>5</v>
      </c>
      <c r="S13" s="4">
        <f t="shared" ref="S13:S14" si="7">Q13+4</f>
        <v>20</v>
      </c>
      <c r="T13" t="s">
        <v>9</v>
      </c>
    </row>
    <row r="14" spans="2:20" x14ac:dyDescent="0.25">
      <c r="B14" t="str">
        <f t="shared" si="5"/>
        <v>new WBeam("W5",4000,1000,14.5,18.5),</v>
      </c>
      <c r="G14" s="9" t="s">
        <v>25</v>
      </c>
      <c r="H14" s="4" t="s">
        <v>21</v>
      </c>
      <c r="I14" s="4" t="s">
        <v>17</v>
      </c>
      <c r="J14" s="4">
        <v>5</v>
      </c>
      <c r="K14" s="4" t="s">
        <v>21</v>
      </c>
      <c r="L14" t="s">
        <v>5</v>
      </c>
      <c r="M14" s="4">
        <v>4000</v>
      </c>
      <c r="N14" t="s">
        <v>5</v>
      </c>
      <c r="O14" s="4">
        <f t="shared" si="6"/>
        <v>1000</v>
      </c>
      <c r="P14" t="s">
        <v>5</v>
      </c>
      <c r="Q14" s="4">
        <v>14.5</v>
      </c>
      <c r="R14" t="s">
        <v>5</v>
      </c>
      <c r="S14" s="4">
        <f t="shared" si="7"/>
        <v>18.5</v>
      </c>
      <c r="T14" t="s">
        <v>9</v>
      </c>
    </row>
    <row r="15" spans="2:20" x14ac:dyDescent="0.25">
      <c r="G15" s="9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B16" t="str">
        <f>_xlfn.CONCAT(G16,H16:S16,T16)</f>
        <v>new WBeam("W7",3000,1100,19.5,23.5),</v>
      </c>
      <c r="G16" s="9" t="s">
        <v>25</v>
      </c>
      <c r="H16" s="4" t="s">
        <v>21</v>
      </c>
      <c r="I16" s="4" t="s">
        <v>17</v>
      </c>
      <c r="J16" s="4">
        <v>7</v>
      </c>
      <c r="K16" s="4" t="s">
        <v>21</v>
      </c>
      <c r="L16" t="s">
        <v>5</v>
      </c>
      <c r="M16" s="4">
        <v>3000</v>
      </c>
      <c r="N16" t="s">
        <v>5</v>
      </c>
      <c r="O16" s="4">
        <f>O12+100</f>
        <v>1100</v>
      </c>
      <c r="P16" t="s">
        <v>5</v>
      </c>
      <c r="Q16" s="4">
        <v>19.5</v>
      </c>
      <c r="R16" t="s">
        <v>5</v>
      </c>
      <c r="S16" s="4">
        <f>Q16+4</f>
        <v>23.5</v>
      </c>
      <c r="T16" t="s">
        <v>9</v>
      </c>
    </row>
    <row r="17" spans="2:20" x14ac:dyDescent="0.25">
      <c r="B17" t="str">
        <f t="shared" ref="B17:B18" si="8">_xlfn.CONCAT(G17,H17:S17,T17)</f>
        <v>new WBeam("W7",3500,1100,18,22),</v>
      </c>
      <c r="G17" s="9" t="s">
        <v>25</v>
      </c>
      <c r="H17" s="4" t="s">
        <v>21</v>
      </c>
      <c r="I17" s="4" t="s">
        <v>17</v>
      </c>
      <c r="J17" s="4">
        <v>7</v>
      </c>
      <c r="K17" s="4" t="s">
        <v>21</v>
      </c>
      <c r="L17" t="s">
        <v>5</v>
      </c>
      <c r="M17" s="4">
        <v>3500</v>
      </c>
      <c r="N17" t="s">
        <v>5</v>
      </c>
      <c r="O17" s="4">
        <f t="shared" ref="O17:O18" si="9">O13+100</f>
        <v>1100</v>
      </c>
      <c r="P17" t="s">
        <v>5</v>
      </c>
      <c r="Q17" s="4">
        <v>18</v>
      </c>
      <c r="R17" t="s">
        <v>5</v>
      </c>
      <c r="S17" s="4">
        <f t="shared" ref="S17:S18" si="10">Q17+4</f>
        <v>22</v>
      </c>
      <c r="T17" t="s">
        <v>9</v>
      </c>
    </row>
    <row r="18" spans="2:20" x14ac:dyDescent="0.25">
      <c r="B18" t="str">
        <f t="shared" si="8"/>
        <v>new WBeam("W7",4000,1100,16.5,20.5),</v>
      </c>
      <c r="G18" s="9" t="s">
        <v>25</v>
      </c>
      <c r="H18" s="4" t="s">
        <v>21</v>
      </c>
      <c r="I18" s="4" t="s">
        <v>17</v>
      </c>
      <c r="J18" s="4">
        <v>7</v>
      </c>
      <c r="K18" s="4" t="s">
        <v>21</v>
      </c>
      <c r="L18" t="s">
        <v>5</v>
      </c>
      <c r="M18" s="4">
        <v>4000</v>
      </c>
      <c r="N18" t="s">
        <v>5</v>
      </c>
      <c r="O18" s="4">
        <f t="shared" si="9"/>
        <v>1100</v>
      </c>
      <c r="P18" t="s">
        <v>5</v>
      </c>
      <c r="Q18" s="4">
        <v>16.5</v>
      </c>
      <c r="R18" t="s">
        <v>5</v>
      </c>
      <c r="S18" s="4">
        <f t="shared" si="10"/>
        <v>20.5</v>
      </c>
      <c r="T18" t="s">
        <v>9</v>
      </c>
    </row>
    <row r="19" spans="2:20" x14ac:dyDescent="0.25">
      <c r="G19" s="9"/>
      <c r="H19" s="4"/>
      <c r="I19" s="4"/>
      <c r="J19" s="4"/>
      <c r="K19" s="4"/>
      <c r="M19" s="4"/>
      <c r="O19" s="4"/>
      <c r="Q19" s="4"/>
      <c r="S19" s="4"/>
    </row>
    <row r="20" spans="2:20" x14ac:dyDescent="0.25">
      <c r="B20" t="str">
        <f>_xlfn.CONCAT(G20,H20:S20,T20)</f>
        <v>new WBeam("W8",3000,1200,21,25),</v>
      </c>
      <c r="G20" s="9" t="s">
        <v>25</v>
      </c>
      <c r="H20" s="4" t="s">
        <v>21</v>
      </c>
      <c r="I20" s="4" t="s">
        <v>17</v>
      </c>
      <c r="J20" s="4">
        <v>8</v>
      </c>
      <c r="K20" s="4" t="s">
        <v>21</v>
      </c>
      <c r="L20" t="s">
        <v>5</v>
      </c>
      <c r="M20" s="4">
        <v>3000</v>
      </c>
      <c r="N20" t="s">
        <v>5</v>
      </c>
      <c r="O20" s="4">
        <f>O16+100</f>
        <v>1200</v>
      </c>
      <c r="P20" t="s">
        <v>5</v>
      </c>
      <c r="Q20" s="4">
        <v>21</v>
      </c>
      <c r="R20" t="s">
        <v>5</v>
      </c>
      <c r="S20" s="4">
        <f>Q20+4</f>
        <v>25</v>
      </c>
      <c r="T20" t="s">
        <v>9</v>
      </c>
    </row>
    <row r="21" spans="2:20" x14ac:dyDescent="0.25">
      <c r="B21" t="str">
        <f t="shared" ref="B21:B22" si="11">_xlfn.CONCAT(G21,H21:S21,T21)</f>
        <v>new WBeam("W8",3500,1200,19.5,23.5),</v>
      </c>
      <c r="G21" s="9" t="s">
        <v>25</v>
      </c>
      <c r="H21" s="4" t="s">
        <v>21</v>
      </c>
      <c r="I21" s="4" t="s">
        <v>17</v>
      </c>
      <c r="J21" s="4">
        <v>8</v>
      </c>
      <c r="K21" s="4" t="s">
        <v>21</v>
      </c>
      <c r="L21" t="s">
        <v>5</v>
      </c>
      <c r="M21" s="4">
        <v>3500</v>
      </c>
      <c r="N21" t="s">
        <v>5</v>
      </c>
      <c r="O21" s="4">
        <f t="shared" ref="O21:O22" si="12">O17+100</f>
        <v>1200</v>
      </c>
      <c r="P21" t="s">
        <v>5</v>
      </c>
      <c r="Q21" s="4">
        <v>19.5</v>
      </c>
      <c r="R21" t="s">
        <v>5</v>
      </c>
      <c r="S21" s="4">
        <f t="shared" ref="S21:S22" si="13">Q21+4</f>
        <v>23.5</v>
      </c>
      <c r="T21" t="s">
        <v>9</v>
      </c>
    </row>
    <row r="22" spans="2:20" x14ac:dyDescent="0.25">
      <c r="B22" t="str">
        <f t="shared" si="11"/>
        <v>new WBeam("W8",4000,1200,18,22),</v>
      </c>
      <c r="G22" s="9" t="s">
        <v>25</v>
      </c>
      <c r="H22" s="4" t="s">
        <v>21</v>
      </c>
      <c r="I22" s="4" t="s">
        <v>17</v>
      </c>
      <c r="J22" s="4">
        <v>8</v>
      </c>
      <c r="K22" s="4" t="s">
        <v>21</v>
      </c>
      <c r="L22" t="s">
        <v>5</v>
      </c>
      <c r="M22" s="4">
        <v>4000</v>
      </c>
      <c r="N22" t="s">
        <v>5</v>
      </c>
      <c r="O22" s="4">
        <f t="shared" si="12"/>
        <v>1200</v>
      </c>
      <c r="P22" t="s">
        <v>5</v>
      </c>
      <c r="Q22" s="4">
        <v>18</v>
      </c>
      <c r="R22" t="s">
        <v>5</v>
      </c>
      <c r="S22" s="4">
        <f t="shared" si="13"/>
        <v>22</v>
      </c>
      <c r="T22" t="s">
        <v>9</v>
      </c>
    </row>
    <row r="23" spans="2:20" x14ac:dyDescent="0.25">
      <c r="G23" s="9"/>
      <c r="H23" s="4"/>
      <c r="I23" s="4"/>
      <c r="J23" s="4"/>
      <c r="K23" s="4"/>
      <c r="M23" s="4"/>
      <c r="O23" s="4"/>
      <c r="Q23" s="4"/>
      <c r="S23" s="4"/>
    </row>
    <row r="24" spans="2:20" x14ac:dyDescent="0.25">
      <c r="B24" t="str">
        <f>_xlfn.CONCAT(G24,H24:S24,T24)</f>
        <v>new WBeam("W9",3000,1300,23,27),</v>
      </c>
      <c r="G24" s="9" t="s">
        <v>25</v>
      </c>
      <c r="H24" s="4" t="s">
        <v>21</v>
      </c>
      <c r="I24" s="4" t="s">
        <v>17</v>
      </c>
      <c r="J24" s="4">
        <v>9</v>
      </c>
      <c r="K24" s="4" t="s">
        <v>21</v>
      </c>
      <c r="L24" t="s">
        <v>5</v>
      </c>
      <c r="M24" s="4">
        <v>3000</v>
      </c>
      <c r="N24" t="s">
        <v>5</v>
      </c>
      <c r="O24" s="4">
        <f>O20+100</f>
        <v>1300</v>
      </c>
      <c r="P24" t="s">
        <v>5</v>
      </c>
      <c r="Q24" s="4">
        <v>23</v>
      </c>
      <c r="R24" t="s">
        <v>5</v>
      </c>
      <c r="S24" s="4">
        <f>Q24+4</f>
        <v>27</v>
      </c>
      <c r="T24" t="s">
        <v>9</v>
      </c>
    </row>
    <row r="25" spans="2:20" x14ac:dyDescent="0.25">
      <c r="B25" t="str">
        <f t="shared" ref="B25:B26" si="14">_xlfn.CONCAT(G25,H25:S25,T25)</f>
        <v>new WBeam("W9",3500,1300,21,25),</v>
      </c>
      <c r="G25" s="9" t="s">
        <v>25</v>
      </c>
      <c r="H25" s="4" t="s">
        <v>21</v>
      </c>
      <c r="I25" s="4" t="s">
        <v>17</v>
      </c>
      <c r="J25" s="4">
        <v>9</v>
      </c>
      <c r="K25" s="4" t="s">
        <v>21</v>
      </c>
      <c r="L25" t="s">
        <v>5</v>
      </c>
      <c r="M25" s="4">
        <v>3500</v>
      </c>
      <c r="N25" t="s">
        <v>5</v>
      </c>
      <c r="O25" s="4">
        <f t="shared" ref="O25:O26" si="15">O21+100</f>
        <v>1300</v>
      </c>
      <c r="P25" t="s">
        <v>5</v>
      </c>
      <c r="Q25" s="4">
        <v>21</v>
      </c>
      <c r="R25" t="s">
        <v>5</v>
      </c>
      <c r="S25" s="4">
        <f t="shared" ref="S25:S26" si="16">Q25+4</f>
        <v>25</v>
      </c>
      <c r="T25" t="s">
        <v>9</v>
      </c>
    </row>
    <row r="26" spans="2:20" x14ac:dyDescent="0.25">
      <c r="B26" t="str">
        <f t="shared" si="14"/>
        <v>new WBeam("W9",4000,1300,19.5,23.5),</v>
      </c>
      <c r="G26" s="9" t="s">
        <v>25</v>
      </c>
      <c r="H26" s="4" t="s">
        <v>21</v>
      </c>
      <c r="I26" s="4" t="s">
        <v>17</v>
      </c>
      <c r="J26" s="4">
        <v>9</v>
      </c>
      <c r="K26" s="4" t="s">
        <v>21</v>
      </c>
      <c r="L26" t="s">
        <v>5</v>
      </c>
      <c r="M26" s="4">
        <v>4000</v>
      </c>
      <c r="N26" t="s">
        <v>5</v>
      </c>
      <c r="O26" s="4">
        <f t="shared" si="15"/>
        <v>1300</v>
      </c>
      <c r="P26" t="s">
        <v>5</v>
      </c>
      <c r="Q26" s="4">
        <v>19.5</v>
      </c>
      <c r="R26" t="s">
        <v>5</v>
      </c>
      <c r="S26" s="4">
        <f t="shared" si="16"/>
        <v>23.5</v>
      </c>
      <c r="T26" t="s">
        <v>9</v>
      </c>
    </row>
    <row r="27" spans="2:20" x14ac:dyDescent="0.25">
      <c r="G27" s="9"/>
      <c r="H27" s="4"/>
      <c r="I27" s="4"/>
      <c r="J27" s="4"/>
      <c r="K27" s="4"/>
      <c r="M27" s="4"/>
      <c r="O27" s="4"/>
      <c r="Q27" s="4"/>
      <c r="S27" s="4"/>
    </row>
    <row r="28" spans="2:20" x14ac:dyDescent="0.25">
      <c r="B28" t="str">
        <f>_xlfn.CONCAT(G28,H28:S28,T28)</f>
        <v>new WBeam("W10",3000,1400,24.5,28.5),</v>
      </c>
      <c r="G28" s="9" t="s">
        <v>25</v>
      </c>
      <c r="H28" s="4" t="s">
        <v>21</v>
      </c>
      <c r="I28" s="4" t="s">
        <v>17</v>
      </c>
      <c r="J28" s="4">
        <v>10</v>
      </c>
      <c r="K28" s="4" t="s">
        <v>21</v>
      </c>
      <c r="L28" t="s">
        <v>5</v>
      </c>
      <c r="M28" s="4">
        <v>3000</v>
      </c>
      <c r="N28" t="s">
        <v>5</v>
      </c>
      <c r="O28" s="4">
        <f>O24+100</f>
        <v>1400</v>
      </c>
      <c r="P28" t="s">
        <v>5</v>
      </c>
      <c r="Q28" s="4">
        <v>24.5</v>
      </c>
      <c r="R28" t="s">
        <v>5</v>
      </c>
      <c r="S28" s="4">
        <f>Q28+4</f>
        <v>28.5</v>
      </c>
      <c r="T28" t="s">
        <v>9</v>
      </c>
    </row>
    <row r="29" spans="2:20" x14ac:dyDescent="0.25">
      <c r="B29" t="str">
        <f t="shared" ref="B29:B30" si="17">_xlfn.CONCAT(G29,H29:S29,T29)</f>
        <v>new WBeam("W10",3500,1400,22.5,26.5),</v>
      </c>
      <c r="G29" s="9" t="s">
        <v>25</v>
      </c>
      <c r="H29" s="4" t="s">
        <v>21</v>
      </c>
      <c r="I29" s="4" t="s">
        <v>17</v>
      </c>
      <c r="J29" s="4">
        <v>10</v>
      </c>
      <c r="K29" s="4" t="s">
        <v>21</v>
      </c>
      <c r="L29" t="s">
        <v>5</v>
      </c>
      <c r="M29" s="4">
        <v>3500</v>
      </c>
      <c r="N29" t="s">
        <v>5</v>
      </c>
      <c r="O29" s="4">
        <f t="shared" ref="O29:O30" si="18">O25+100</f>
        <v>1400</v>
      </c>
      <c r="P29" t="s">
        <v>5</v>
      </c>
      <c r="Q29" s="4">
        <v>22.5</v>
      </c>
      <c r="R29" t="s">
        <v>5</v>
      </c>
      <c r="S29" s="4">
        <f t="shared" ref="S29:S30" si="19">Q29+4</f>
        <v>26.5</v>
      </c>
      <c r="T29" t="s">
        <v>9</v>
      </c>
    </row>
    <row r="30" spans="2:20" x14ac:dyDescent="0.25">
      <c r="B30" t="str">
        <f t="shared" si="17"/>
        <v>new WBeam("W10",4000,1400,21.5,25.5),</v>
      </c>
      <c r="G30" s="9" t="s">
        <v>25</v>
      </c>
      <c r="H30" s="4" t="s">
        <v>21</v>
      </c>
      <c r="I30" s="4" t="s">
        <v>17</v>
      </c>
      <c r="J30" s="4">
        <v>10</v>
      </c>
      <c r="K30" s="4" t="s">
        <v>21</v>
      </c>
      <c r="L30" t="s">
        <v>5</v>
      </c>
      <c r="M30" s="4">
        <v>4000</v>
      </c>
      <c r="N30" t="s">
        <v>5</v>
      </c>
      <c r="O30" s="4">
        <f t="shared" si="18"/>
        <v>1400</v>
      </c>
      <c r="P30" t="s">
        <v>5</v>
      </c>
      <c r="Q30" s="4">
        <v>21.5</v>
      </c>
      <c r="R30" t="s">
        <v>5</v>
      </c>
      <c r="S30" s="4">
        <f t="shared" si="19"/>
        <v>25.5</v>
      </c>
      <c r="T30" t="s">
        <v>9</v>
      </c>
    </row>
    <row r="31" spans="2:20" x14ac:dyDescent="0.25">
      <c r="G31" s="9"/>
      <c r="H31" s="4"/>
      <c r="I31" s="4"/>
      <c r="J31" s="4"/>
      <c r="K31" s="4"/>
      <c r="M31" s="4"/>
      <c r="O31" s="4"/>
      <c r="Q31" s="4"/>
      <c r="S31" s="4"/>
    </row>
    <row r="32" spans="2:20" x14ac:dyDescent="0.25">
      <c r="B32" t="str">
        <f>_xlfn.CONCAT(G32,H32:S32,T32)</f>
        <v>new WBeam("W11",3000,1500,26,30),</v>
      </c>
      <c r="G32" s="9" t="s">
        <v>25</v>
      </c>
      <c r="H32" s="4" t="s">
        <v>21</v>
      </c>
      <c r="I32" s="4" t="s">
        <v>17</v>
      </c>
      <c r="J32" s="4">
        <v>11</v>
      </c>
      <c r="K32" s="4" t="s">
        <v>21</v>
      </c>
      <c r="L32" t="s">
        <v>5</v>
      </c>
      <c r="M32" s="4">
        <v>3000</v>
      </c>
      <c r="N32" t="s">
        <v>5</v>
      </c>
      <c r="O32" s="4">
        <f>O28+100</f>
        <v>1500</v>
      </c>
      <c r="P32" t="s">
        <v>5</v>
      </c>
      <c r="Q32" s="4">
        <v>26</v>
      </c>
      <c r="R32" t="s">
        <v>5</v>
      </c>
      <c r="S32" s="4">
        <f>Q32+4</f>
        <v>30</v>
      </c>
      <c r="T32" t="s">
        <v>9</v>
      </c>
    </row>
    <row r="33" spans="2:20" x14ac:dyDescent="0.25">
      <c r="B33" t="str">
        <f t="shared" ref="B33:B34" si="20">_xlfn.CONCAT(G33,H33:S33,T33)</f>
        <v>new WBeam("W11",3500,1500,24,28),</v>
      </c>
      <c r="G33" s="9" t="s">
        <v>25</v>
      </c>
      <c r="H33" s="4" t="s">
        <v>21</v>
      </c>
      <c r="I33" s="4" t="s">
        <v>17</v>
      </c>
      <c r="J33" s="4">
        <v>11</v>
      </c>
      <c r="K33" s="4" t="s">
        <v>21</v>
      </c>
      <c r="L33" t="s">
        <v>5</v>
      </c>
      <c r="M33" s="4">
        <v>3500</v>
      </c>
      <c r="N33" t="s">
        <v>5</v>
      </c>
      <c r="O33" s="4">
        <f t="shared" ref="O33:O34" si="21">O29+100</f>
        <v>1500</v>
      </c>
      <c r="P33" t="s">
        <v>5</v>
      </c>
      <c r="Q33" s="4">
        <v>24</v>
      </c>
      <c r="R33" t="s">
        <v>5</v>
      </c>
      <c r="S33" s="4">
        <f t="shared" ref="S33:S34" si="22">Q33+4</f>
        <v>28</v>
      </c>
      <c r="T33" t="s">
        <v>9</v>
      </c>
    </row>
    <row r="34" spans="2:20" x14ac:dyDescent="0.25">
      <c r="B34" t="str">
        <f t="shared" si="20"/>
        <v>new WBeam("W11",4000,1500,22.5,26.5),</v>
      </c>
      <c r="G34" s="9" t="s">
        <v>25</v>
      </c>
      <c r="H34" s="4" t="s">
        <v>21</v>
      </c>
      <c r="I34" s="4" t="s">
        <v>17</v>
      </c>
      <c r="J34" s="4">
        <v>11</v>
      </c>
      <c r="K34" s="4" t="s">
        <v>21</v>
      </c>
      <c r="L34" t="s">
        <v>5</v>
      </c>
      <c r="M34" s="4">
        <v>4000</v>
      </c>
      <c r="N34" t="s">
        <v>5</v>
      </c>
      <c r="O34" s="4">
        <f t="shared" si="21"/>
        <v>1500</v>
      </c>
      <c r="P34" t="s">
        <v>5</v>
      </c>
      <c r="Q34" s="4">
        <v>22.5</v>
      </c>
      <c r="R34" t="s">
        <v>5</v>
      </c>
      <c r="S34" s="4">
        <f t="shared" si="22"/>
        <v>26.5</v>
      </c>
      <c r="T34" t="s">
        <v>9</v>
      </c>
    </row>
    <row r="35" spans="2:20" x14ac:dyDescent="0.25">
      <c r="G35" s="9"/>
      <c r="H35" s="4"/>
      <c r="I35" s="4"/>
      <c r="J35" s="4"/>
      <c r="K35" s="4"/>
      <c r="M35" s="4"/>
      <c r="O35" s="4"/>
      <c r="Q35" s="4"/>
      <c r="S35" s="4"/>
    </row>
    <row r="36" spans="2:20" x14ac:dyDescent="0.25">
      <c r="B36" t="str">
        <f>_xlfn.CONCAT(G36,H36:S36,T36)</f>
        <v>new WBeam("W12",3000,1600,27.5,31.5),</v>
      </c>
      <c r="G36" s="9" t="s">
        <v>25</v>
      </c>
      <c r="H36" s="4" t="s">
        <v>21</v>
      </c>
      <c r="I36" s="4" t="s">
        <v>17</v>
      </c>
      <c r="J36" s="4">
        <v>12</v>
      </c>
      <c r="K36" s="4" t="s">
        <v>21</v>
      </c>
      <c r="L36" t="s">
        <v>5</v>
      </c>
      <c r="M36" s="4">
        <v>3000</v>
      </c>
      <c r="N36" t="s">
        <v>5</v>
      </c>
      <c r="O36" s="4">
        <f>O32+100</f>
        <v>1600</v>
      </c>
      <c r="P36" t="s">
        <v>5</v>
      </c>
      <c r="Q36" s="4">
        <v>27.5</v>
      </c>
      <c r="R36" t="s">
        <v>5</v>
      </c>
      <c r="S36" s="4">
        <f>Q36+4</f>
        <v>31.5</v>
      </c>
      <c r="T36" t="s">
        <v>9</v>
      </c>
    </row>
    <row r="37" spans="2:20" x14ac:dyDescent="0.25">
      <c r="B37" t="str">
        <f t="shared" ref="B37:B38" si="23">_xlfn.CONCAT(G37,H37:S37,T37)</f>
        <v>new WBeam("W12",3500,1600,25.5,29.5),</v>
      </c>
      <c r="G37" s="9" t="s">
        <v>25</v>
      </c>
      <c r="H37" s="4" t="s">
        <v>21</v>
      </c>
      <c r="I37" s="4" t="s">
        <v>17</v>
      </c>
      <c r="J37" s="4">
        <v>12</v>
      </c>
      <c r="K37" s="4" t="s">
        <v>21</v>
      </c>
      <c r="L37" t="s">
        <v>5</v>
      </c>
      <c r="M37" s="4">
        <v>3500</v>
      </c>
      <c r="N37" t="s">
        <v>5</v>
      </c>
      <c r="O37" s="4">
        <f t="shared" ref="O37:O38" si="24">O33+100</f>
        <v>1600</v>
      </c>
      <c r="P37" t="s">
        <v>5</v>
      </c>
      <c r="Q37" s="4">
        <v>25.5</v>
      </c>
      <c r="R37" t="s">
        <v>5</v>
      </c>
      <c r="S37" s="4">
        <f t="shared" ref="S37:S38" si="25">Q37+4</f>
        <v>29.5</v>
      </c>
      <c r="T37" t="s">
        <v>9</v>
      </c>
    </row>
    <row r="38" spans="2:20" x14ac:dyDescent="0.25">
      <c r="B38" t="str">
        <f t="shared" si="23"/>
        <v>new WBeam("W12",4000,1600,23.5,27.5),</v>
      </c>
      <c r="G38" s="9" t="s">
        <v>25</v>
      </c>
      <c r="H38" s="4" t="s">
        <v>21</v>
      </c>
      <c r="I38" s="4" t="s">
        <v>17</v>
      </c>
      <c r="J38" s="4">
        <v>12</v>
      </c>
      <c r="K38" s="4" t="s">
        <v>21</v>
      </c>
      <c r="L38" t="s">
        <v>5</v>
      </c>
      <c r="M38" s="4">
        <v>4000</v>
      </c>
      <c r="N38" t="s">
        <v>5</v>
      </c>
      <c r="O38" s="4">
        <f t="shared" si="24"/>
        <v>1600</v>
      </c>
      <c r="P38" t="s">
        <v>5</v>
      </c>
      <c r="Q38" s="4">
        <v>23.5</v>
      </c>
      <c r="R38" t="s">
        <v>5</v>
      </c>
      <c r="S38" s="4">
        <f t="shared" si="25"/>
        <v>27.5</v>
      </c>
      <c r="T38" t="s">
        <v>9</v>
      </c>
    </row>
    <row r="39" spans="2:20" x14ac:dyDescent="0.25">
      <c r="G39" s="9"/>
      <c r="H39" s="4"/>
      <c r="I39" s="4"/>
      <c r="J39" s="4"/>
      <c r="K39" s="4"/>
      <c r="M39" s="4"/>
      <c r="O39" s="4"/>
      <c r="Q39" s="4"/>
      <c r="S39" s="4"/>
    </row>
    <row r="40" spans="2:20" x14ac:dyDescent="0.25">
      <c r="B40" t="str">
        <f>_xlfn.CONCAT(G40,H40:S40,T40)</f>
        <v>new WBeam("W13",3000,1700,29,33),</v>
      </c>
      <c r="G40" s="9" t="s">
        <v>25</v>
      </c>
      <c r="H40" s="4" t="s">
        <v>21</v>
      </c>
      <c r="I40" s="4" t="s">
        <v>17</v>
      </c>
      <c r="J40" s="4">
        <v>13</v>
      </c>
      <c r="K40" s="4" t="s">
        <v>21</v>
      </c>
      <c r="L40" t="s">
        <v>5</v>
      </c>
      <c r="M40" s="4">
        <v>3000</v>
      </c>
      <c r="N40" t="s">
        <v>5</v>
      </c>
      <c r="O40" s="4">
        <f>O36+100</f>
        <v>1700</v>
      </c>
      <c r="P40" t="s">
        <v>5</v>
      </c>
      <c r="Q40" s="4">
        <v>29</v>
      </c>
      <c r="R40" t="s">
        <v>5</v>
      </c>
      <c r="S40" s="4">
        <f>Q40+4</f>
        <v>33</v>
      </c>
      <c r="T40" t="s">
        <v>9</v>
      </c>
    </row>
    <row r="41" spans="2:20" x14ac:dyDescent="0.25">
      <c r="B41" t="str">
        <f t="shared" ref="B41:B42" si="26">_xlfn.CONCAT(G41,H41:S41,T41)</f>
        <v>new WBeam("W13",3500,1700,27,31),</v>
      </c>
      <c r="G41" s="9" t="s">
        <v>25</v>
      </c>
      <c r="H41" s="4" t="s">
        <v>21</v>
      </c>
      <c r="I41" s="4" t="s">
        <v>17</v>
      </c>
      <c r="J41" s="4">
        <v>13</v>
      </c>
      <c r="K41" s="4" t="s">
        <v>21</v>
      </c>
      <c r="L41" t="s">
        <v>5</v>
      </c>
      <c r="M41" s="4">
        <v>3500</v>
      </c>
      <c r="N41" t="s">
        <v>5</v>
      </c>
      <c r="O41" s="4">
        <f t="shared" ref="O41:O42" si="27">O37+100</f>
        <v>1700</v>
      </c>
      <c r="P41" t="s">
        <v>5</v>
      </c>
      <c r="Q41" s="4">
        <v>27</v>
      </c>
      <c r="R41" t="s">
        <v>5</v>
      </c>
      <c r="S41" s="4">
        <f t="shared" ref="S41:S42" si="28">Q41+4</f>
        <v>31</v>
      </c>
      <c r="T41" t="s">
        <v>9</v>
      </c>
    </row>
    <row r="42" spans="2:20" x14ac:dyDescent="0.25">
      <c r="B42" t="str">
        <f t="shared" si="26"/>
        <v>new WBeam("W13",4000,1700,25,29),</v>
      </c>
      <c r="G42" s="9" t="s">
        <v>25</v>
      </c>
      <c r="H42" s="4" t="s">
        <v>21</v>
      </c>
      <c r="I42" s="4" t="s">
        <v>17</v>
      </c>
      <c r="J42" s="4">
        <v>13</v>
      </c>
      <c r="K42" s="4" t="s">
        <v>21</v>
      </c>
      <c r="L42" t="s">
        <v>5</v>
      </c>
      <c r="M42" s="4">
        <v>4000</v>
      </c>
      <c r="N42" t="s">
        <v>5</v>
      </c>
      <c r="O42" s="4">
        <f t="shared" si="27"/>
        <v>1700</v>
      </c>
      <c r="P42" t="s">
        <v>5</v>
      </c>
      <c r="Q42" s="4">
        <v>25</v>
      </c>
      <c r="R42" t="s">
        <v>5</v>
      </c>
      <c r="S42" s="4">
        <f t="shared" si="28"/>
        <v>29</v>
      </c>
      <c r="T42" t="s">
        <v>9</v>
      </c>
    </row>
    <row r="43" spans="2:20" x14ac:dyDescent="0.25">
      <c r="G43" s="9"/>
      <c r="H43" s="4"/>
      <c r="I43" s="4"/>
      <c r="J43" s="4"/>
      <c r="K43" s="4"/>
      <c r="M43" s="4"/>
      <c r="O43" s="4"/>
      <c r="Q43" s="4"/>
      <c r="S43" s="4"/>
    </row>
    <row r="44" spans="2:20" x14ac:dyDescent="0.25">
      <c r="B44" t="str">
        <f>_xlfn.CONCAT(G44,H44:S44,T44)</f>
        <v>new WBeam("W14",3000,1800,30.5,34.5),</v>
      </c>
      <c r="G44" s="9" t="s">
        <v>25</v>
      </c>
      <c r="H44" s="4" t="s">
        <v>21</v>
      </c>
      <c r="I44" s="4" t="s">
        <v>17</v>
      </c>
      <c r="J44" s="4">
        <f>J40+1</f>
        <v>14</v>
      </c>
      <c r="K44" s="4" t="s">
        <v>21</v>
      </c>
      <c r="L44" t="s">
        <v>5</v>
      </c>
      <c r="M44" s="4">
        <v>3000</v>
      </c>
      <c r="N44" t="s">
        <v>5</v>
      </c>
      <c r="O44" s="4">
        <f>O40+100</f>
        <v>1800</v>
      </c>
      <c r="P44" t="s">
        <v>5</v>
      </c>
      <c r="Q44" s="4">
        <v>30.5</v>
      </c>
      <c r="R44" t="s">
        <v>5</v>
      </c>
      <c r="S44" s="4">
        <f>Q44+4</f>
        <v>34.5</v>
      </c>
      <c r="T44" t="s">
        <v>9</v>
      </c>
    </row>
    <row r="45" spans="2:20" x14ac:dyDescent="0.25">
      <c r="B45" t="str">
        <f t="shared" ref="B45:B46" si="29">_xlfn.CONCAT(G45,H45:S45,T45)</f>
        <v>new WBeam("W14",3500,1800,28.5,32.5),</v>
      </c>
      <c r="G45" s="9" t="s">
        <v>25</v>
      </c>
      <c r="H45" s="4" t="s">
        <v>21</v>
      </c>
      <c r="I45" s="4" t="s">
        <v>17</v>
      </c>
      <c r="J45" s="4">
        <f t="shared" ref="J45:J46" si="30">J41+1</f>
        <v>14</v>
      </c>
      <c r="K45" s="4" t="s">
        <v>21</v>
      </c>
      <c r="L45" t="s">
        <v>5</v>
      </c>
      <c r="M45" s="4">
        <v>3500</v>
      </c>
      <c r="N45" t="s">
        <v>5</v>
      </c>
      <c r="O45" s="4">
        <f t="shared" ref="O45:O46" si="31">O41+100</f>
        <v>1800</v>
      </c>
      <c r="P45" t="s">
        <v>5</v>
      </c>
      <c r="Q45" s="4">
        <v>28.5</v>
      </c>
      <c r="R45" t="s">
        <v>5</v>
      </c>
      <c r="S45" s="4">
        <f t="shared" ref="S45:S46" si="32">Q45+4</f>
        <v>32.5</v>
      </c>
      <c r="T45" t="s">
        <v>9</v>
      </c>
    </row>
    <row r="46" spans="2:20" x14ac:dyDescent="0.25">
      <c r="B46" t="str">
        <f t="shared" si="29"/>
        <v>new WBeam("W14",4000,1800,26.5,30.5),</v>
      </c>
      <c r="G46" s="9" t="s">
        <v>25</v>
      </c>
      <c r="H46" s="4" t="s">
        <v>21</v>
      </c>
      <c r="I46" s="4" t="s">
        <v>17</v>
      </c>
      <c r="J46" s="4">
        <f t="shared" si="30"/>
        <v>14</v>
      </c>
      <c r="K46" s="4" t="s">
        <v>21</v>
      </c>
      <c r="L46" t="s">
        <v>5</v>
      </c>
      <c r="M46" s="4">
        <v>4000</v>
      </c>
      <c r="N46" t="s">
        <v>5</v>
      </c>
      <c r="O46" s="4">
        <f t="shared" si="31"/>
        <v>1800</v>
      </c>
      <c r="P46" t="s">
        <v>5</v>
      </c>
      <c r="Q46" s="4">
        <v>26.5</v>
      </c>
      <c r="R46" t="s">
        <v>5</v>
      </c>
      <c r="S46" s="4">
        <f t="shared" si="32"/>
        <v>30.5</v>
      </c>
      <c r="T46" t="s">
        <v>9</v>
      </c>
    </row>
    <row r="47" spans="2:20" x14ac:dyDescent="0.25">
      <c r="G47" s="9"/>
      <c r="H47" s="4"/>
      <c r="I47" s="4"/>
      <c r="J47" s="4"/>
      <c r="K47" s="4"/>
      <c r="M47" s="4"/>
      <c r="O47" s="4"/>
      <c r="Q47" s="4"/>
      <c r="S47" s="4"/>
    </row>
    <row r="48" spans="2:20" x14ac:dyDescent="0.25">
      <c r="B48" t="str">
        <f>_xlfn.CONCAT(G48,H48:S48,T48)</f>
        <v>new WBeam("W15",3000,1900,32,36),</v>
      </c>
      <c r="G48" s="9" t="s">
        <v>25</v>
      </c>
      <c r="H48" s="4" t="s">
        <v>21</v>
      </c>
      <c r="I48" s="4" t="s">
        <v>17</v>
      </c>
      <c r="J48" s="4">
        <f>J44+1</f>
        <v>15</v>
      </c>
      <c r="K48" s="4" t="s">
        <v>21</v>
      </c>
      <c r="L48" t="s">
        <v>5</v>
      </c>
      <c r="M48" s="4">
        <v>3000</v>
      </c>
      <c r="N48" t="s">
        <v>5</v>
      </c>
      <c r="O48" s="4">
        <f>O44+100</f>
        <v>1900</v>
      </c>
      <c r="P48" t="s">
        <v>5</v>
      </c>
      <c r="Q48" s="4">
        <v>32</v>
      </c>
      <c r="R48" t="s">
        <v>5</v>
      </c>
      <c r="S48" s="4">
        <f>Q48+4</f>
        <v>36</v>
      </c>
      <c r="T48" t="s">
        <v>9</v>
      </c>
    </row>
    <row r="49" spans="2:20" x14ac:dyDescent="0.25">
      <c r="B49" t="str">
        <f t="shared" ref="B49:B50" si="33">_xlfn.CONCAT(G49,H49:S49,T49)</f>
        <v>new WBeam("W15",3500,1900,30,34),</v>
      </c>
      <c r="G49" s="9" t="s">
        <v>25</v>
      </c>
      <c r="H49" s="4" t="s">
        <v>21</v>
      </c>
      <c r="I49" s="4" t="s">
        <v>17</v>
      </c>
      <c r="J49" s="4">
        <f t="shared" ref="J49:J50" si="34">J45+1</f>
        <v>15</v>
      </c>
      <c r="K49" s="4" t="s">
        <v>21</v>
      </c>
      <c r="L49" t="s">
        <v>5</v>
      </c>
      <c r="M49" s="4">
        <v>3500</v>
      </c>
      <c r="N49" t="s">
        <v>5</v>
      </c>
      <c r="O49" s="4">
        <f t="shared" ref="O49:O50" si="35">O45+100</f>
        <v>1900</v>
      </c>
      <c r="P49" t="s">
        <v>5</v>
      </c>
      <c r="Q49" s="4">
        <v>30</v>
      </c>
      <c r="R49" t="s">
        <v>5</v>
      </c>
      <c r="S49" s="4">
        <f t="shared" ref="S49:S50" si="36">Q49+4</f>
        <v>34</v>
      </c>
      <c r="T49" t="s">
        <v>9</v>
      </c>
    </row>
    <row r="50" spans="2:20" x14ac:dyDescent="0.25">
      <c r="B50" t="str">
        <f t="shared" si="33"/>
        <v>new WBeam("W15",4000,1900,28,32),</v>
      </c>
      <c r="G50" s="9" t="s">
        <v>25</v>
      </c>
      <c r="H50" s="4" t="s">
        <v>21</v>
      </c>
      <c r="I50" s="4" t="s">
        <v>17</v>
      </c>
      <c r="J50" s="4">
        <f t="shared" si="34"/>
        <v>15</v>
      </c>
      <c r="K50" s="4" t="s">
        <v>21</v>
      </c>
      <c r="L50" t="s">
        <v>5</v>
      </c>
      <c r="M50" s="4">
        <v>4000</v>
      </c>
      <c r="N50" t="s">
        <v>5</v>
      </c>
      <c r="O50" s="4">
        <f t="shared" si="35"/>
        <v>1900</v>
      </c>
      <c r="P50" t="s">
        <v>5</v>
      </c>
      <c r="Q50" s="4">
        <v>28</v>
      </c>
      <c r="R50" t="s">
        <v>5</v>
      </c>
      <c r="S50" s="4">
        <f t="shared" si="36"/>
        <v>32</v>
      </c>
      <c r="T50" t="s">
        <v>9</v>
      </c>
    </row>
    <row r="51" spans="2:20" x14ac:dyDescent="0.25">
      <c r="G51" s="9"/>
      <c r="H51" s="4"/>
      <c r="I51" s="4"/>
      <c r="J51" s="4"/>
      <c r="K51" s="4"/>
      <c r="M51" s="4"/>
      <c r="O51" s="4"/>
      <c r="Q51" s="4"/>
      <c r="S51" s="4"/>
    </row>
    <row r="52" spans="2:20" x14ac:dyDescent="0.25">
      <c r="B52" t="str">
        <f>_xlfn.CONCAT(G52,H52:S52,T52)</f>
        <v>new WBeam("W16",3000,2000,33.5,37.5),</v>
      </c>
      <c r="G52" s="9" t="s">
        <v>25</v>
      </c>
      <c r="H52" s="4" t="s">
        <v>21</v>
      </c>
      <c r="I52" s="4" t="s">
        <v>17</v>
      </c>
      <c r="J52" s="4">
        <f>J48+1</f>
        <v>16</v>
      </c>
      <c r="K52" s="4" t="s">
        <v>21</v>
      </c>
      <c r="L52" t="s">
        <v>5</v>
      </c>
      <c r="M52" s="4">
        <v>3000</v>
      </c>
      <c r="N52" t="s">
        <v>5</v>
      </c>
      <c r="O52" s="4">
        <f>O48+100</f>
        <v>2000</v>
      </c>
      <c r="P52" t="s">
        <v>5</v>
      </c>
      <c r="Q52" s="4">
        <v>33.5</v>
      </c>
      <c r="R52" t="s">
        <v>5</v>
      </c>
      <c r="S52" s="4">
        <f>Q52+4</f>
        <v>37.5</v>
      </c>
      <c r="T52" t="s">
        <v>9</v>
      </c>
    </row>
    <row r="53" spans="2:20" x14ac:dyDescent="0.25">
      <c r="B53" t="str">
        <f t="shared" ref="B53:B54" si="37">_xlfn.CONCAT(G53,H53:S53,T53)</f>
        <v>new WBeam("W16",3500,2000,31.5,35.5),</v>
      </c>
      <c r="G53" s="9" t="s">
        <v>25</v>
      </c>
      <c r="H53" s="4" t="s">
        <v>21</v>
      </c>
      <c r="I53" s="4" t="s">
        <v>17</v>
      </c>
      <c r="J53" s="4">
        <f t="shared" ref="J53:J54" si="38">J49+1</f>
        <v>16</v>
      </c>
      <c r="K53" s="4" t="s">
        <v>21</v>
      </c>
      <c r="L53" t="s">
        <v>5</v>
      </c>
      <c r="M53" s="4">
        <v>3500</v>
      </c>
      <c r="N53" t="s">
        <v>5</v>
      </c>
      <c r="O53" s="4">
        <f t="shared" ref="O53:O54" si="39">O49+100</f>
        <v>2000</v>
      </c>
      <c r="P53" t="s">
        <v>5</v>
      </c>
      <c r="Q53" s="4">
        <v>31.5</v>
      </c>
      <c r="R53" t="s">
        <v>5</v>
      </c>
      <c r="S53" s="4">
        <f t="shared" ref="S53:S54" si="40">Q53+4</f>
        <v>35.5</v>
      </c>
      <c r="T53" t="s">
        <v>9</v>
      </c>
    </row>
    <row r="54" spans="2:20" x14ac:dyDescent="0.25">
      <c r="B54" t="str">
        <f t="shared" si="37"/>
        <v>new WBeam("W16",4000,2000,29,33),</v>
      </c>
      <c r="G54" s="9" t="s">
        <v>25</v>
      </c>
      <c r="H54" s="4" t="s">
        <v>21</v>
      </c>
      <c r="I54" s="4" t="s">
        <v>17</v>
      </c>
      <c r="J54" s="4">
        <f t="shared" si="38"/>
        <v>16</v>
      </c>
      <c r="K54" s="4" t="s">
        <v>21</v>
      </c>
      <c r="L54" t="s">
        <v>5</v>
      </c>
      <c r="M54" s="4">
        <v>4000</v>
      </c>
      <c r="N54" t="s">
        <v>5</v>
      </c>
      <c r="O54" s="4">
        <f t="shared" si="39"/>
        <v>2000</v>
      </c>
      <c r="P54" t="s">
        <v>5</v>
      </c>
      <c r="Q54" s="4">
        <v>29</v>
      </c>
      <c r="R54" t="s">
        <v>5</v>
      </c>
      <c r="S54" s="4">
        <f t="shared" si="40"/>
        <v>33</v>
      </c>
      <c r="T54" t="s">
        <v>9</v>
      </c>
    </row>
    <row r="55" spans="2:20" x14ac:dyDescent="0.25">
      <c r="G55" s="9"/>
      <c r="H55" s="4"/>
      <c r="I55" s="4"/>
      <c r="J55" s="4"/>
      <c r="K55" s="4"/>
      <c r="M55" s="4"/>
      <c r="O55" s="4"/>
      <c r="Q55" s="4"/>
      <c r="S55" s="4"/>
    </row>
    <row r="56" spans="2:20" x14ac:dyDescent="0.25">
      <c r="B56" t="str">
        <f>_xlfn.CONCAT(G56,H56:S56,T56)</f>
        <v>new WBeam("W17",3000,2100,35,39),</v>
      </c>
      <c r="G56" s="9" t="s">
        <v>25</v>
      </c>
      <c r="H56" s="4" t="s">
        <v>21</v>
      </c>
      <c r="I56" s="4" t="s">
        <v>17</v>
      </c>
      <c r="J56" s="4">
        <f>J52+1</f>
        <v>17</v>
      </c>
      <c r="K56" s="4" t="s">
        <v>21</v>
      </c>
      <c r="L56" t="s">
        <v>5</v>
      </c>
      <c r="M56" s="4">
        <v>3000</v>
      </c>
      <c r="N56" t="s">
        <v>5</v>
      </c>
      <c r="O56" s="4">
        <f>O52+100</f>
        <v>2100</v>
      </c>
      <c r="P56" t="s">
        <v>5</v>
      </c>
      <c r="Q56" s="4">
        <v>35</v>
      </c>
      <c r="R56" t="s">
        <v>5</v>
      </c>
      <c r="S56" s="4">
        <f>Q56+4</f>
        <v>39</v>
      </c>
      <c r="T56" t="s">
        <v>9</v>
      </c>
    </row>
    <row r="57" spans="2:20" x14ac:dyDescent="0.25">
      <c r="B57" t="str">
        <f t="shared" ref="B57:B58" si="41">_xlfn.CONCAT(G57,H57:S57,T57)</f>
        <v>new WBeam("W17",3500,2100,32.5,36.5),</v>
      </c>
      <c r="G57" s="9" t="s">
        <v>25</v>
      </c>
      <c r="H57" s="4" t="s">
        <v>21</v>
      </c>
      <c r="I57" s="4" t="s">
        <v>17</v>
      </c>
      <c r="J57" s="4">
        <f t="shared" ref="J57:J58" si="42">J53+1</f>
        <v>17</v>
      </c>
      <c r="K57" s="4" t="s">
        <v>21</v>
      </c>
      <c r="L57" t="s">
        <v>5</v>
      </c>
      <c r="M57" s="4">
        <v>3500</v>
      </c>
      <c r="N57" t="s">
        <v>5</v>
      </c>
      <c r="O57" s="4">
        <f t="shared" ref="O57:O58" si="43">O53+100</f>
        <v>2100</v>
      </c>
      <c r="P57" t="s">
        <v>5</v>
      </c>
      <c r="Q57" s="4">
        <v>32.5</v>
      </c>
      <c r="R57" t="s">
        <v>5</v>
      </c>
      <c r="S57" s="4">
        <f t="shared" ref="S57:S58" si="44">Q57+4</f>
        <v>36.5</v>
      </c>
      <c r="T57" t="s">
        <v>9</v>
      </c>
    </row>
    <row r="58" spans="2:20" x14ac:dyDescent="0.25">
      <c r="B58" t="str">
        <f t="shared" si="41"/>
        <v>new WBeam("W17",4000,2100,30.5,34.5),</v>
      </c>
      <c r="G58" s="9" t="s">
        <v>25</v>
      </c>
      <c r="H58" s="4" t="s">
        <v>21</v>
      </c>
      <c r="I58" s="4" t="s">
        <v>17</v>
      </c>
      <c r="J58" s="4">
        <f t="shared" si="42"/>
        <v>17</v>
      </c>
      <c r="K58" s="4" t="s">
        <v>21</v>
      </c>
      <c r="L58" t="s">
        <v>5</v>
      </c>
      <c r="M58" s="4">
        <v>4000</v>
      </c>
      <c r="N58" t="s">
        <v>5</v>
      </c>
      <c r="O58" s="4">
        <f t="shared" si="43"/>
        <v>2100</v>
      </c>
      <c r="P58" t="s">
        <v>5</v>
      </c>
      <c r="Q58" s="4">
        <v>30.5</v>
      </c>
      <c r="R58" t="s">
        <v>5</v>
      </c>
      <c r="S58" s="4">
        <f t="shared" si="44"/>
        <v>34.5</v>
      </c>
      <c r="T58" t="s">
        <v>9</v>
      </c>
    </row>
    <row r="60" spans="2:20" x14ac:dyDescent="0.25">
      <c r="B60" t="str">
        <f>_xlfn.CONCAT(G60,H60:S60,T60)</f>
        <v>new WBeam("W18",3000,2200,36.5,40.5),</v>
      </c>
      <c r="G60" s="9" t="s">
        <v>25</v>
      </c>
      <c r="H60" s="4" t="s">
        <v>21</v>
      </c>
      <c r="I60" s="4" t="s">
        <v>17</v>
      </c>
      <c r="J60" s="4">
        <f>J56+1</f>
        <v>18</v>
      </c>
      <c r="K60" s="4" t="s">
        <v>21</v>
      </c>
      <c r="L60" t="s">
        <v>5</v>
      </c>
      <c r="M60" s="4">
        <v>3000</v>
      </c>
      <c r="N60" t="s">
        <v>5</v>
      </c>
      <c r="O60" s="4">
        <f>O56+100</f>
        <v>2200</v>
      </c>
      <c r="P60" t="s">
        <v>5</v>
      </c>
      <c r="Q60" s="4">
        <v>36.5</v>
      </c>
      <c r="R60" t="s">
        <v>5</v>
      </c>
      <c r="S60" s="4">
        <f>Q60+4</f>
        <v>40.5</v>
      </c>
      <c r="T60" t="s">
        <v>9</v>
      </c>
    </row>
    <row r="61" spans="2:20" x14ac:dyDescent="0.25">
      <c r="B61" t="str">
        <f t="shared" ref="B61:B62" si="45">_xlfn.CONCAT(G61,H61:S61,T61)</f>
        <v>new WBeam("W18",3500,2200,34,38),</v>
      </c>
      <c r="G61" s="9" t="s">
        <v>25</v>
      </c>
      <c r="H61" s="4" t="s">
        <v>21</v>
      </c>
      <c r="I61" s="4" t="s">
        <v>17</v>
      </c>
      <c r="J61" s="4">
        <f t="shared" ref="J61:J62" si="46">J57+1</f>
        <v>18</v>
      </c>
      <c r="K61" s="4" t="s">
        <v>21</v>
      </c>
      <c r="L61" t="s">
        <v>5</v>
      </c>
      <c r="M61" s="4">
        <v>3500</v>
      </c>
      <c r="N61" t="s">
        <v>5</v>
      </c>
      <c r="O61" s="4">
        <f t="shared" ref="O61:O62" si="47">O57+100</f>
        <v>2200</v>
      </c>
      <c r="P61" t="s">
        <v>5</v>
      </c>
      <c r="Q61" s="4">
        <v>34</v>
      </c>
      <c r="R61" t="s">
        <v>5</v>
      </c>
      <c r="S61" s="4">
        <f t="shared" ref="S61:S62" si="48">Q61+4</f>
        <v>38</v>
      </c>
      <c r="T61" t="s">
        <v>9</v>
      </c>
    </row>
    <row r="62" spans="2:20" x14ac:dyDescent="0.25">
      <c r="B62" t="str">
        <f t="shared" si="45"/>
        <v>new WBeam("W18",4000,2200,31.5,35.5),</v>
      </c>
      <c r="G62" s="9" t="s">
        <v>25</v>
      </c>
      <c r="H62" s="4" t="s">
        <v>21</v>
      </c>
      <c r="I62" s="4" t="s">
        <v>17</v>
      </c>
      <c r="J62" s="4">
        <f t="shared" si="46"/>
        <v>18</v>
      </c>
      <c r="K62" s="4" t="s">
        <v>21</v>
      </c>
      <c r="L62" t="s">
        <v>5</v>
      </c>
      <c r="M62" s="4">
        <v>4000</v>
      </c>
      <c r="N62" t="s">
        <v>5</v>
      </c>
      <c r="O62" s="4">
        <f t="shared" si="47"/>
        <v>2200</v>
      </c>
      <c r="P62" t="s">
        <v>5</v>
      </c>
      <c r="Q62" s="4">
        <v>31.5</v>
      </c>
      <c r="R62" t="s">
        <v>5</v>
      </c>
      <c r="S62" s="4">
        <f t="shared" si="48"/>
        <v>35.5</v>
      </c>
      <c r="T62" t="s">
        <v>9</v>
      </c>
    </row>
    <row r="63" spans="2:20" x14ac:dyDescent="0.25">
      <c r="G63" s="9"/>
      <c r="H63" s="4"/>
      <c r="I63" s="4"/>
      <c r="J63" s="4"/>
      <c r="K63" s="4"/>
      <c r="M63" s="4"/>
      <c r="O63" s="4"/>
      <c r="Q63" s="4"/>
      <c r="S63" s="4"/>
    </row>
    <row r="64" spans="2:20" x14ac:dyDescent="0.25">
      <c r="B64" t="str">
        <f>_xlfn.CONCAT(G64,H64:S64,T64)</f>
        <v>new WBeam("W19",3000,2300,38,42),</v>
      </c>
      <c r="G64" s="9" t="s">
        <v>25</v>
      </c>
      <c r="H64" s="4" t="s">
        <v>21</v>
      </c>
      <c r="I64" s="4" t="s">
        <v>17</v>
      </c>
      <c r="J64" s="4">
        <f>J60+1</f>
        <v>19</v>
      </c>
      <c r="K64" s="4" t="s">
        <v>21</v>
      </c>
      <c r="L64" t="s">
        <v>5</v>
      </c>
      <c r="M64" s="4">
        <v>3000</v>
      </c>
      <c r="N64" t="s">
        <v>5</v>
      </c>
      <c r="O64" s="4">
        <f>O60+100</f>
        <v>2300</v>
      </c>
      <c r="P64" t="s">
        <v>5</v>
      </c>
      <c r="Q64" s="4">
        <v>38</v>
      </c>
      <c r="R64" t="s">
        <v>5</v>
      </c>
      <c r="S64" s="4">
        <f>Q64+4</f>
        <v>42</v>
      </c>
      <c r="T64" t="s">
        <v>9</v>
      </c>
    </row>
    <row r="65" spans="2:20" x14ac:dyDescent="0.25">
      <c r="B65" t="str">
        <f t="shared" ref="B65:B66" si="49">_xlfn.CONCAT(G65,H65:S65,T65)</f>
        <v>new WBeam("W19",3500,2300,35.5,39.5),</v>
      </c>
      <c r="G65" s="9" t="s">
        <v>25</v>
      </c>
      <c r="H65" s="4" t="s">
        <v>21</v>
      </c>
      <c r="I65" s="4" t="s">
        <v>17</v>
      </c>
      <c r="J65" s="4">
        <f t="shared" ref="J65:J66" si="50">J61+1</f>
        <v>19</v>
      </c>
      <c r="K65" s="4" t="s">
        <v>21</v>
      </c>
      <c r="L65" t="s">
        <v>5</v>
      </c>
      <c r="M65" s="4">
        <v>3500</v>
      </c>
      <c r="N65" t="s">
        <v>5</v>
      </c>
      <c r="O65" s="4">
        <f t="shared" ref="O65:O66" si="51">O61+100</f>
        <v>2300</v>
      </c>
      <c r="P65" t="s">
        <v>5</v>
      </c>
      <c r="Q65" s="4">
        <v>35.5</v>
      </c>
      <c r="R65" t="s">
        <v>5</v>
      </c>
      <c r="S65" s="4">
        <f t="shared" ref="S65:S66" si="52">Q65+4</f>
        <v>39.5</v>
      </c>
      <c r="T65" t="s">
        <v>9</v>
      </c>
    </row>
    <row r="66" spans="2:20" x14ac:dyDescent="0.25">
      <c r="B66" t="str">
        <f t="shared" si="49"/>
        <v>new WBeam("W19",4000,2300,33,37),</v>
      </c>
      <c r="G66" s="9" t="s">
        <v>25</v>
      </c>
      <c r="H66" s="4" t="s">
        <v>21</v>
      </c>
      <c r="I66" s="4" t="s">
        <v>17</v>
      </c>
      <c r="J66" s="4">
        <f t="shared" si="50"/>
        <v>19</v>
      </c>
      <c r="K66" s="4" t="s">
        <v>21</v>
      </c>
      <c r="L66" t="s">
        <v>5</v>
      </c>
      <c r="M66" s="4">
        <v>4000</v>
      </c>
      <c r="N66" t="s">
        <v>5</v>
      </c>
      <c r="O66" s="4">
        <f t="shared" si="51"/>
        <v>2300</v>
      </c>
      <c r="P66" t="s">
        <v>5</v>
      </c>
      <c r="Q66" s="4">
        <v>33</v>
      </c>
      <c r="R66" t="s">
        <v>5</v>
      </c>
      <c r="S66" s="4">
        <f t="shared" si="52"/>
        <v>37</v>
      </c>
      <c r="T66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Design Analysis</vt:lpstr>
      <vt:lpstr>DesignDocumentation </vt:lpstr>
      <vt:lpstr>Y Beams</vt:lpstr>
      <vt:lpstr>UBeams</vt:lpstr>
      <vt:lpstr>Box beams</vt:lpstr>
      <vt:lpstr>MBeams</vt:lpstr>
      <vt:lpstr>MYBeams</vt:lpstr>
      <vt:lpstr>TBeams</vt:lpstr>
      <vt:lpstr>TYBeams</vt:lpstr>
      <vt:lpstr>WBeams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Cox</dc:creator>
  <cp:lastModifiedBy>Peter Cox</cp:lastModifiedBy>
  <dcterms:created xsi:type="dcterms:W3CDTF">2019-09-23T19:05:26Z</dcterms:created>
  <dcterms:modified xsi:type="dcterms:W3CDTF">2019-10-20T13:32:43Z</dcterms:modified>
</cp:coreProperties>
</file>